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пущения_и_данные" sheetId="1" state="visible" r:id="rId3"/>
    <sheet name="Себестоимость" sheetId="2" state="visible" r:id="rId4"/>
    <sheet name="Порог_30000" sheetId="3" state="visible" r:id="rId5"/>
    <sheet name="Профили" sheetId="4" state="visible" r:id="rId6"/>
    <sheet name="Мощность" sheetId="5" state="visible" r:id="rId7"/>
    <sheet name="Тарифы" sheetId="6" state="visible" r:id="rId8"/>
    <sheet name="Выводы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<sst xmlns="http://schemas.openxmlformats.org/spreadsheetml/2006/main" count="436" uniqueCount="335">
  <si>
    <t xml:space="preserve">ЭКОНОМИКА СЕРВИСА АНОНИМИЗАЦИИ ПДн — ИСХОДНЫЕ ДАННЫЕ И ДОПУЩЕНИЯ</t>
  </si>
  <si>
    <t xml:space="preserve">Рубли, российский рынок, без НДС. Управленческий расчёт — стандарты GAAP/МСФО не применяются.</t>
  </si>
  <si>
    <t xml:space="preserve">СИНИЙ = ввод · ЧЁРНЫЙ = формула · ЗЕЛЁНЫЙ = ссылка на другой лист · ЖЁЛТАЯ ЗАЛИВКА = ДОПУЩЕНИЕ, которого нет в ваших данных</t>
  </si>
  <si>
    <t xml:space="preserve">ДАНО: ПРАЙС ПОСТАВЩИКА (Selectel), руб. за 1 млн токенов</t>
  </si>
  <si>
    <t xml:space="preserve">Модель</t>
  </si>
  <si>
    <t xml:space="preserve">Вход</t>
  </si>
  <si>
    <t xml:space="preserve">Выход</t>
  </si>
  <si>
    <t xml:space="preserve">Чтение кэша</t>
  </si>
  <si>
    <t xml:space="preserve">Запись кэша</t>
  </si>
  <si>
    <t xml:space="preserve">Скидка кэша</t>
  </si>
  <si>
    <t xml:space="preserve">Gemma 4 26B A4B</t>
  </si>
  <si>
    <t xml:space="preserve">—</t>
  </si>
  <si>
    <t xml:space="preserve">Кэш даёт 90% скидки — это делает модель радикально дешевле при повторяющемся системном тексте.</t>
  </si>
  <si>
    <t xml:space="preserve">Gemma 4 31B</t>
  </si>
  <si>
    <t xml:space="preserve">ВНИМАНИЕ: у этой модели чтение кэша стоит 11.09 против входа 14.79 — скидка всего 25%. Кэширование её почти не спасает.</t>
  </si>
  <si>
    <t xml:space="preserve">Qwen3.5-27B</t>
  </si>
  <si>
    <t xml:space="preserve">Qwen3.5-35B-A3B</t>
  </si>
  <si>
    <t xml:space="preserve">Скидка чтения кэша к цене входа</t>
  </si>
  <si>
    <t xml:space="preserve">ДОПУЩЕНИЕ: прочерк в столбце «Запись кэша» прочитан как «запись не тарифицируется». Если поставщик имеет в виду «кэширование недоступно», расчёт с кэшем нужно выбросить целиком. Это надо уточнить у Selectel — вопрос №1.</t>
  </si>
  <si>
    <t xml:space="preserve">ИЗМЕРЕНО: ТРИ РЕАЛЬНЫХ ДОКУМЕНТА (подсчёт каждого токена)</t>
  </si>
  <si>
    <t xml:space="preserve">Документ</t>
  </si>
  <si>
    <t xml:space="preserve">Символов</t>
  </si>
  <si>
    <t xml:space="preserve">Страниц</t>
  </si>
  <si>
    <t xml:space="preserve">Вызовов</t>
  </si>
  <si>
    <t xml:space="preserve">Вход, ток.</t>
  </si>
  <si>
    <t xml:space="preserve">Выход, ток.</t>
  </si>
  <si>
    <t xml:space="preserve">Время, с</t>
  </si>
  <si>
    <t xml:space="preserve">Обращений к NER</t>
  </si>
  <si>
    <t xml:space="preserve">Договор ГПХ</t>
  </si>
  <si>
    <t xml:space="preserve">Протокол совещания</t>
  </si>
  <si>
    <t xml:space="preserve">Транскрипт встречи</t>
  </si>
  <si>
    <t xml:space="preserve">ИТОГО / СРЕДНЕЕ</t>
  </si>
  <si>
    <t xml:space="preserve">Знаков в странице</t>
  </si>
  <si>
    <t xml:space="preserve">ДАНО</t>
  </si>
  <si>
    <t xml:space="preserve">Входных токенов на страницу</t>
  </si>
  <si>
    <t xml:space="preserve">Заявлено 4 983 — сходится.</t>
  </si>
  <si>
    <t xml:space="preserve">Выходных токенов на страницу</t>
  </si>
  <si>
    <t xml:space="preserve">Заявлено 217 — сходится.</t>
  </si>
  <si>
    <t xml:space="preserve">Отношение вход/выход</t>
  </si>
  <si>
    <t xml:space="preserve">Заявлено 23x — сходится. Сервис много читает и мало пишет, поэтому цена ВХОДА решает всё.</t>
  </si>
  <si>
    <t xml:space="preserve">Вызовов модели на страницу</t>
  </si>
  <si>
    <t xml:space="preserve">Заявлено 1.8 — сходится.</t>
  </si>
  <si>
    <t xml:space="preserve">Обращений к NER на страницу</t>
  </si>
  <si>
    <t xml:space="preserve">Выведено из ваших данных: 748 обращений на 40.5 страницы.</t>
  </si>
  <si>
    <t xml:space="preserve">Средний размер документа, стр.</t>
  </si>
  <si>
    <t xml:space="preserve">ДОПУЩЕНИЕ</t>
  </si>
  <si>
    <t xml:space="preserve">Среднее трёх измеренных. ДОПУЩЕНИЕ при переносе на другие документы.</t>
  </si>
  <si>
    <t xml:space="preserve">Доля входных токенов, попадающих под цену чтения кэша</t>
  </si>
  <si>
    <t xml:space="preserve">43% входа — дословно повторяющийся системный текст. РИСК: это верхняя граница. Кэш живёт ограниченное время; если между документами клиента проходит больше времени жизни кэша, доля фактических попаданий будет ниже. Вопрос №2 к поставщику — время жизни кэша.</t>
  </si>
  <si>
    <t xml:space="preserve">Фактическая доля попаданий в кэш (что использовать в расчёте)</t>
  </si>
  <si>
    <t xml:space="preserve">Поставьте меньше 43%, чтобы увидеть чувствительность к промахам кэша.</t>
  </si>
  <si>
    <t xml:space="preserve">ДАНО: АЛЬТЕРНАТИВА ПОШТУЧНОЙ ОПЛАТЕ</t>
  </si>
  <si>
    <t xml:space="preserve">Фиксированная плата за доступ к модели, ₽/мес</t>
  </si>
  <si>
    <t xml:space="preserve">ИЗМЕРЕНО: ПРОИЗВОДИТЕЛЬНОСТЬ</t>
  </si>
  <si>
    <t xml:space="preserve">Время одного вызова модели, с</t>
  </si>
  <si>
    <t xml:space="preserve">Время вызова при 32 одновременных, с</t>
  </si>
  <si>
    <t xml:space="preserve">ДАНО. Задержка почти не растёт — значит упираемся не в очередь, а в шлюз.</t>
  </si>
  <si>
    <t xml:space="preserve">Пропускная способность при 32 одновременных, вызовов/с</t>
  </si>
  <si>
    <t xml:space="preserve">Потолок одновременных вызовов (выше шлюз отказывает)</t>
  </si>
  <si>
    <t xml:space="preserve">Размер пачки вызовов на документ</t>
  </si>
  <si>
    <t xml:space="preserve">Время обработки документа, с</t>
  </si>
  <si>
    <t xml:space="preserve">ДОПУЩЕНИЕ: середина измеренного диапазона 76–81 с.</t>
  </si>
  <si>
    <t xml:space="preserve">ДОПУЩЕНИЯ — НИ ОДНОГО ИЗ ЭТИХ ЧИСЕЛ НЕТ В ВАШИХ ДАННЫХ</t>
  </si>
  <si>
    <t xml:space="preserve">Рабочих дней в месяце</t>
  </si>
  <si>
    <t xml:space="preserve">Календарное допущение.</t>
  </si>
  <si>
    <t xml:space="preserve">Рабочих часов в дне</t>
  </si>
  <si>
    <t xml:space="preserve">Определяет и профили клиентов, и месячный предел мощности.</t>
  </si>
  <si>
    <t xml:space="preserve">Комфортная загрузка мощности</t>
  </si>
  <si>
    <t xml:space="preserve">Выше этой доли очередь начинает заметно расти. Инженерное правило, а не измерение.</t>
  </si>
  <si>
    <t xml:space="preserve">Хостинг сервиса распознавания имён (NER), ₽/мес</t>
  </si>
  <si>
    <t xml:space="preserve">НУЖНО ОТ ВАС. В прайсе поставщика его нет. 3 000 ₽ — оценка небольшой виртуальной машины. Это может оказаться и 15 000 ₽, если сервису нужен GPU. Вопрос №3.</t>
  </si>
  <si>
    <t xml:space="preserve">Сервер и домен веб-сервиса, ₽/мес</t>
  </si>
  <si>
    <t xml:space="preserve">НУЖНО ОТ ВАС. Перенесено из вашего предыдущего брифа.</t>
  </si>
  <si>
    <t xml:space="preserve">Часов поддержки на клиента в месяц</t>
  </si>
  <si>
    <t xml:space="preserve">НУЖНО ОТ ВАС. Перенесено из предыдущего брифа (диапазон 2–4). Статистики нет.</t>
  </si>
  <si>
    <t xml:space="preserve">Стоимость часа вашего времени, ₽/час</t>
  </si>
  <si>
    <t xml:space="preserve">НУЖНО ОТ ВАС. Перенесено из предыдущего брифа. Не расход кассы, а альтернативная стоимость.</t>
  </si>
  <si>
    <t xml:space="preserve">Стоимость ручной вычитки у клиента, ₽/стр — низ</t>
  </si>
  <si>
    <t xml:space="preserve">Из предыдущего брифа, НЕ из текущего. В этом задании рыночных данных не было.</t>
  </si>
  <si>
    <t xml:space="preserve">Стоимость ручной вычитки у клиента, ₽/стр — верх</t>
  </si>
  <si>
    <t xml:space="preserve">Из предыдущего брифа, НЕ из текущего.</t>
  </si>
  <si>
    <t xml:space="preserve">Отток, продажи, маркетинг, налоги</t>
  </si>
  <si>
    <t xml:space="preserve">Не моделируются — данных нет.</t>
  </si>
  <si>
    <t xml:space="preserve">ПОСТОЯННЫЕ РАСХОДЫ ПРИ ПОШТУЧНОЙ ОПЛАТЕ, ₽/мес</t>
  </si>
  <si>
    <t xml:space="preserve">NER-хостинг + сервер. Плата за модель сюда НЕ входит — она поштучная.</t>
  </si>
  <si>
    <t xml:space="preserve">ПОСТОЯННЫЕ РАСХОДЫ ПРИ ФИКСИРОВАННОЙ ПЛАТЕ, ₽/мес</t>
  </si>
  <si>
    <t xml:space="preserve">Стоимость поддержки одного клиента, ₽/мес</t>
  </si>
  <si>
    <t xml:space="preserve">Середина диапазона ручной вычитки, ₽/стр</t>
  </si>
  <si>
    <t xml:space="preserve">ЧТО НУЖНО ОТ ВАС, ЧТОБЫ УТОЧНИТЬ РАСЧЁТ</t>
  </si>
  <si>
    <t xml:space="preserve">1. Прочерк в столбце «Запись кэша»: кэш бесплатен при записи — или кэширования у поставщика нет вообще? От этого зависит вся экономия в 31%.</t>
  </si>
  <si>
    <t xml:space="preserve">2. Время жизни кэша у поставщика. 43% — доля повторяющегося текста, но не доля фактических попаданий. При редком обращении кэш успевает истечь.</t>
  </si>
  <si>
    <t xml:space="preserve">3. Стоимость хостинга сервиса распознавания имён. 18.5 обращения на страницу — это заметная нагрузка. Нужна ли ему GPU?</t>
  </si>
  <si>
    <t xml:space="preserve">4. Реальное число часов поддержки на клиента. Сейчас взято 3 часа из прошлого брифа. Это главный переменный расход, он в 200 раз больше токенов.</t>
  </si>
  <si>
    <t xml:space="preserve">5. Подтверждение ставки 2 000 ₽/час за ваше время — она почти целиком определяет минимальную цену.</t>
  </si>
  <si>
    <t xml:space="preserve">6. Есть ли у поставщика скидка за объём или резервирование мощности — при поштучной оплате это меняет порог перехода.</t>
  </si>
  <si>
    <t xml:space="preserve">7. Сколько человек работает у типичного заказчика. Мощность упирается в одновременных пользователей, а не в страницы, — а тариф пока считает страницы.</t>
  </si>
  <si>
    <t xml:space="preserve">8. Размер очереди, который клиент готов терпеть. От этого зависит, считать ли комфортной загрузку 70% или 90%.</t>
  </si>
  <si>
    <t xml:space="preserve">СЕБЕСТОИМОСТЬ ТОКЕНОВ ПО ЧЕТЫРЁМ МОДЕЛЯМ</t>
  </si>
  <si>
    <t xml:space="preserve">Расход считается напрямую из измеренных токенов и прайса. Никаких допущений, кроме доли попаданий в кэш.</t>
  </si>
  <si>
    <t xml:space="preserve">БЕЗ КЭША — весь вход по полной цене</t>
  </si>
  <si>
    <t xml:space="preserve">Договор ГПХ
1.4 стр, ₽</t>
  </si>
  <si>
    <t xml:space="preserve">Протокол
9.4 стр, ₽</t>
  </si>
  <si>
    <t xml:space="preserve">Транскрипт
29.7 стр, ₽</t>
  </si>
  <si>
    <t xml:space="preserve">Договор
₽/стр</t>
  </si>
  <si>
    <t xml:space="preserve">Протокол
₽/стр</t>
  </si>
  <si>
    <t xml:space="preserve">Транскрипт
₽/стр</t>
  </si>
  <si>
    <t xml:space="preserve">СРЕДНЯЯ
СТРАНИЦА, ₽</t>
  </si>
  <si>
    <t xml:space="preserve">С КЭШЕМ — 43% входа по цене чтения кэша</t>
  </si>
  <si>
    <t xml:space="preserve">ЧТО ДАЁТ КЭШИРОВАНИЕ</t>
  </si>
  <si>
    <t xml:space="preserve">₽/стр без кэша</t>
  </si>
  <si>
    <t xml:space="preserve">₽/стр с кэшем</t>
  </si>
  <si>
    <t xml:space="preserve">Экономия, ₽</t>
  </si>
  <si>
    <t xml:space="preserve">Экономия, %</t>
  </si>
  <si>
    <t xml:space="preserve">Доля входа в расходе</t>
  </si>
  <si>
    <t xml:space="preserve">Место по цене</t>
  </si>
  <si>
    <t xml:space="preserve">САМАЯ ДЕШЁВАЯ КОМБИНАЦИЯ, ₽/стр</t>
  </si>
  <si>
    <t xml:space="preserve">САМАЯ ДОРОГАЯ КОМБИНАЦИЯ, ₽/стр</t>
  </si>
  <si>
    <t xml:space="preserve">Разброс между ними</t>
  </si>
  <si>
    <t xml:space="preserve">Вход даёт 74–89% всего расхода. Это прямое следствие измеренного соотношения 23:1 — сервис читает много, пишет мало. Значит при выборе модели смотреть надо на цену входа и цену чтения кэша, а не на цену выхода.</t>
  </si>
  <si>
    <t xml:space="preserve">Кэширование даёт 31% экономии на Gemma 26B и всего 9.5% на Gemma 31B. Причина в прайсе: у 26B чтение кэша стоит 0.74 против входа 7.40 — скидка 90%. У 31B чтение кэша 11.09 против входа 14.79 — скидка 25%. Кэш выгоден не всегда, а только там, где поставщик даёт по нему настоящую скидку.</t>
  </si>
  <si>
    <t xml:space="preserve">Короткий документ дороже в пересчёте на страницу — это подтверждается: 6 527 входных токенов на страницу против 3 425 у протокола. Но зависимость немонотонная: транскрипт снова дороже протокола (5 399 токенов на страницу). Три точки не ложатся на прямую, и по ним нельзя достоверно выделить постоянную надбавку на документ. Для тарификации это не важно — расход на страницу в любом случае составляет копейки.</t>
  </si>
  <si>
    <t xml:space="preserve">Сверка с вашим предыдущим брифом: названные там 0.083 ₽/стр — это в точности Gemma 4 31B без кэша (0.0831), а 0.031 ₽/стр — Gemma 4 26B A4B с кэшем (0.0314). Расходы по трём документам 0.19 / 0.68 / 2.49 ₽ тоже совпадают с Gemma 4 31B без кэша. Две независимые выгрузки сошлись — данным можно доверять.</t>
  </si>
  <si>
    <t xml:space="preserve">ПРИ КАКОМ ОБЪЁМЕ ФИКСИРОВАННЫЕ 30 000 ₽ СТАНОВЯТСЯ ДЕШЕВЛЕ ПОШТУЧНОЙ ОПЛАТЫ</t>
  </si>
  <si>
    <t xml:space="preserve">Сравнивается только плата за модель. NER-хостинг и сервер нужны в обоих вариантах и на порог не влияют.</t>
  </si>
  <si>
    <t xml:space="preserve">Модель и режим</t>
  </si>
  <si>
    <t xml:space="preserve">₽/страница</t>
  </si>
  <si>
    <t xml:space="preserve">Порог, стр/мес</t>
  </si>
  <si>
    <t xml:space="preserve">Порог, стр/раб. день</t>
  </si>
  <si>
    <t xml:space="preserve">Порог в % от месячной мощности</t>
  </si>
  <si>
    <t xml:space="preserve">Порог в клиентах по 100 стр/день</t>
  </si>
  <si>
    <t xml:space="preserve">Gemma 26B + кэш — САМАЯ ДЕШЁВАЯ</t>
  </si>
  <si>
    <t xml:space="preserve">Порог 955 тыс. страниц в месяц — это больше месячной мощности сервиса при 8-часовом дне. То есть на самой дешёвой модели фиксированная плата не окупится НИКОГДА: раньше кончится железо.</t>
  </si>
  <si>
    <t xml:space="preserve">Gemma 26B без кэша</t>
  </si>
  <si>
    <t xml:space="preserve">Gemma 31B + кэш</t>
  </si>
  <si>
    <t xml:space="preserve">Gemma 31B без кэша</t>
  </si>
  <si>
    <t xml:space="preserve">Qwen35B-A3B + кэш</t>
  </si>
  <si>
    <t xml:space="preserve">Qwen35B-A3B без кэша</t>
  </si>
  <si>
    <t xml:space="preserve">Qwen 27B + кэш</t>
  </si>
  <si>
    <t xml:space="preserve">Qwen 27B без кэша — САМАЯ ДОРОГАЯ</t>
  </si>
  <si>
    <t xml:space="preserve">Даже на самой дорогой модели порог — 186 тыс. страниц в месяц, это 8 444 страницы в рабочий день, или 84 клиента, каждый из которых обрабатывает 100 страниц в день.</t>
  </si>
  <si>
    <t xml:space="preserve">ВЫВОД: фиксированная плата 30 000 ₽ невыгодна ни при одном реалистичном объёме. Диапазон порога — от 186 тыс. до 955 тыс. страниц в месяц в зависимости от модели и кэша. Нижняя граница этого диапазона требует 84 клиентов среднего размера; верхняя физически недостижима на текущем железе.</t>
  </si>
  <si>
    <t xml:space="preserve">Переход на поштучную оплату экономит 30 000 ₽ в месяц минус фактический расход на токены. При реалистичных объёмах первых клиентов (единицы тысяч страниц в месяц) расход на токены — десятки рублей, то есть экономия составляет практически все 30 000 ₽.</t>
  </si>
  <si>
    <t xml:space="preserve">ОГОВОРКА: расчёт сравнивает только цену. Фиксированная плата может давать гарантированную мощность или приоритет в очереди — в предоставленном прайсе об этом ничего нет. Если такая гарантия есть, её стоит оценить отдельно.</t>
  </si>
  <si>
    <t xml:space="preserve">ПРОФИЛИ КЛИЕНТОВ: 5, 100 И 1000 СТРАНИЦ В ДЕНЬ НА СОТРУДНИКА</t>
  </si>
  <si>
    <t xml:space="preserve">Расчёт на одного работающего сотрудника. Разброс между профилями — 200-кратный.</t>
  </si>
  <si>
    <t xml:space="preserve">Показатель</t>
  </si>
  <si>
    <t xml:space="preserve">Лёгкий
5 стр/день</t>
  </si>
  <si>
    <t xml:space="preserve">Средний
100 стр/день</t>
  </si>
  <si>
    <t xml:space="preserve">Тяжёлый
1000 стр/день</t>
  </si>
  <si>
    <t xml:space="preserve">Разброс</t>
  </si>
  <si>
    <t xml:space="preserve">Страниц в день (ввод)</t>
  </si>
  <si>
    <t xml:space="preserve">Страниц в месяц</t>
  </si>
  <si>
    <t xml:space="preserve">Страниц в час работы</t>
  </si>
  <si>
    <t xml:space="preserve">Документов в месяц (средний размер)</t>
  </si>
  <si>
    <t xml:space="preserve">Зависит от допущения о среднем размере документа.</t>
  </si>
  <si>
    <t xml:space="preserve">Вызовов модели в месяц</t>
  </si>
  <si>
    <t xml:space="preserve">Обращений к NER в месяц</t>
  </si>
  <si>
    <t xml:space="preserve">18.5 обращения на страницу — нагрузка на отдельный сервис, оплачивается хостингом.</t>
  </si>
  <si>
    <t xml:space="preserve">ТОКЕНЫ на самой дешёвой модели, ₽/мес</t>
  </si>
  <si>
    <t xml:space="preserve">Gemma 26B с кэшем.</t>
  </si>
  <si>
    <t xml:space="preserve">ТОКЕНЫ на самой дорогой модели, ₽/мес</t>
  </si>
  <si>
    <t xml:space="preserve">Qwen 27B без кэша.</t>
  </si>
  <si>
    <t xml:space="preserve">Разница между моделями, ₽/мес</t>
  </si>
  <si>
    <t xml:space="preserve">Выбор модели меняет расход в 5.1 раза — но в абсолютных рублях это копейки против поддержки.</t>
  </si>
  <si>
    <t xml:space="preserve">Доля месячной мощности сервиса</t>
  </si>
  <si>
    <t xml:space="preserve">Сколько таких сотрудников выдержит мощность</t>
  </si>
  <si>
    <t xml:space="preserve">По страницам, без учёта очереди.</t>
  </si>
  <si>
    <t xml:space="preserve">Альтернатива клиента — ручная вычитка, ₽/мес</t>
  </si>
  <si>
    <t xml:space="preserve">Из предыдущего брифа: 20–60 ₽/стр, середина 40.</t>
  </si>
  <si>
    <t xml:space="preserve">Расход на токены в % от альтернативы</t>
  </si>
  <si>
    <t xml:space="preserve">Даже на самой дорогой модели — сотые доли процента.</t>
  </si>
  <si>
    <t xml:space="preserve">ЧТО ЗДЕСЬ ВИДНО. Потребление меняется в 200 раз, расход на токены — тоже в 200 раз. Но в абсолютных величинах весь диапазон укладывается от 3 до 3 554 ₽ в месяц. Даже самый тяжёлый сотрудник на самой дорогой модели обходится в 3 554 ₽ токенов — меньше, чем 2 часа вашей поддержки.</t>
  </si>
  <si>
    <t xml:space="preserve">СЛЕДСТВИЕ ДЛЯ ТАРИФА: 200-кратный разброс потребления почти не влияет на наши расходы, зато полностью определяет ценность для клиента (от 4 400 до 880 000 ₽ сэкономленного ручного труда в месяц). Значит цена должна следовать за объёмом не потому, что объём нам дорого обходится, а потому, что объём — это мера полученной клиентом пользы.</t>
  </si>
  <si>
    <t xml:space="preserve">ВАЖНАЯ ОГОВОРКА: лёгкий профиль (5 стр/день = 110 стр/мес) экономит клиенту всего 4 400 ₽ в месяц. Это меньше, чем стоит один наш клиент в поддержке (6 000 ₽). Такому клиенту нельзя продать ничего, что окупало бы нас: порог жизнеспособности — примерно 350 стр/мес при одном клиенте и 170 стр/мес при десяти. См. лист «Тарифы».</t>
  </si>
  <si>
    <t xml:space="preserve">МОЩНОСТЬ: ВЫЗОВЫ, ДОКУМЕНТЫ И ЛЮДИ — ЭТО ТРИ РАЗНЫЕ ВЕЛИЧИНЫ</t>
  </si>
  <si>
    <t xml:space="preserve">УРОВЕНЬ 1. ОДНОВРЕМЕННЫЕ ОБРАЩЕНИЯ К МОДЕЛИ — то, во что упирается шлюз</t>
  </si>
  <si>
    <t xml:space="preserve">Потолок одновременных вызовов</t>
  </si>
  <si>
    <t xml:space="preserve">Выше этого шлюз начинает отказывать.</t>
  </si>
  <si>
    <t xml:space="preserve">Пропускная способность, вызовов/с</t>
  </si>
  <si>
    <t xml:space="preserve">Измерено при 32 одновременных.</t>
  </si>
  <si>
    <t xml:space="preserve">Выведено из ваших трёх документов.</t>
  </si>
  <si>
    <t xml:space="preserve">СТРАНИЦ В ЧАС — жёсткий потолок</t>
  </si>
  <si>
    <t xml:space="preserve">Главное число всей мощности.</t>
  </si>
  <si>
    <t xml:space="preserve">Страниц в час при комфортной загрузке</t>
  </si>
  <si>
    <t xml:space="preserve">ДОПУЩЕНИЕ: 70%. Выше очередь растёт нелинейно.</t>
  </si>
  <si>
    <t xml:space="preserve">УРОВЕНЬ 2. ДОКУМЕНТЫ В ОБРАБОТКЕ — то, что определяет время ожидания</t>
  </si>
  <si>
    <t xml:space="preserve">Дано.</t>
  </si>
  <si>
    <t xml:space="preserve">ДОКУМЕНТОВ ОДНОВРЕМЕННО В ОБРАБОТКЕ</t>
  </si>
  <si>
    <t xml:space="preserve">32 вызова / пачка по 8 = 4 документа. Пятый ждёт.</t>
  </si>
  <si>
    <t xml:space="preserve">76–81 с почти независимо от объёма.</t>
  </si>
  <si>
    <t xml:space="preserve">МЕСЯЧНЫЙ ПРЕДЕЛ, страниц</t>
  </si>
  <si>
    <t xml:space="preserve">При 8-часовом дне и 22 рабочих днях.</t>
  </si>
  <si>
    <t xml:space="preserve">Месячный предел при комфортной загрузке, страниц</t>
  </si>
  <si>
    <t xml:space="preserve">Рабочий ориентир для планирования.</t>
  </si>
  <si>
    <t xml:space="preserve">Месячный предел при круглосуточной работе, страниц</t>
  </si>
  <si>
    <t xml:space="preserve">Технический максимум, если сервис работает без выходных.</t>
  </si>
  <si>
    <t xml:space="preserve">Документов в час по размеру документа</t>
  </si>
  <si>
    <t xml:space="preserve">Размер документа, стр</t>
  </si>
  <si>
    <t xml:space="preserve">По пропускной способности</t>
  </si>
  <si>
    <t xml:space="preserve">По одновременности</t>
  </si>
  <si>
    <t xml:space="preserve">ПРЕДЕЛ, док/час</t>
  </si>
  <si>
    <t xml:space="preserve">Что ограничивает</t>
  </si>
  <si>
    <t xml:space="preserve">Договор 1.4 стр</t>
  </si>
  <si>
    <t xml:space="preserve">У коротких документов упираемся в число одновременных документов, у длинных — в пропускную способность. Это разные узкие места, и расширяются они по-разному.</t>
  </si>
  <si>
    <t xml:space="preserve">Протокол 9.4 стр</t>
  </si>
  <si>
    <t xml:space="preserve">Транскрипт 29.7 стр</t>
  </si>
  <si>
    <t xml:space="preserve">Средний 13.5 стр</t>
  </si>
  <si>
    <t xml:space="preserve">УРОВЕНЬ 3. ЛЮДЕЙ ЗА РАБОТОЙ — то, что видит заказчик</t>
  </si>
  <si>
    <t xml:space="preserve">Профиль сотрудника</t>
  </si>
  <si>
    <t xml:space="preserve">Страниц в час</t>
  </si>
  <si>
    <t xml:space="preserve">Людей при 100% загрузки</t>
  </si>
  <si>
    <t xml:space="preserve">Людей при комфортной загрузке</t>
  </si>
  <si>
    <t xml:space="preserve">5 страниц в день</t>
  </si>
  <si>
    <t xml:space="preserve">100 страниц в день</t>
  </si>
  <si>
    <t xml:space="preserve">1000 страниц в день</t>
  </si>
  <si>
    <t xml:space="preserve">Людей, если каждый непрерывно шлёт документы с паузой</t>
  </si>
  <si>
    <t xml:space="preserve">Пауза между документами, мин</t>
  </si>
  <si>
    <t xml:space="preserve">Людей за работой</t>
  </si>
  <si>
    <t xml:space="preserve">Этот расчёт объясняет число «20–34 активных пользователя» из вашего предыдущего брифа: оно соответствует паузе 5–10 минут между документами, то есть очень плотной работе. При паузе 30 минут тот же сервис обслуживает почти 100 человек.</t>
  </si>
  <si>
    <t xml:space="preserve">КОГДА РАСШИРЯТЬ И ЧТО ИМЕННО</t>
  </si>
  <si>
    <t xml:space="preserve">Профиль клиента</t>
  </si>
  <si>
    <t xml:space="preserve">Страниц в месяц на клиента</t>
  </si>
  <si>
    <t xml:space="preserve">Клиентов до комфортного предела</t>
  </si>
  <si>
    <t xml:space="preserve">Клиентов до жёсткого предела</t>
  </si>
  <si>
    <t xml:space="preserve">1 сотрудник, 5 стр/день</t>
  </si>
  <si>
    <t xml:space="preserve">1 сотрудник, 20 стр/день</t>
  </si>
  <si>
    <t xml:space="preserve">1 сотрудник, 100 стр/день</t>
  </si>
  <si>
    <t xml:space="preserve">1 сотрудник, 300 стр/день</t>
  </si>
  <si>
    <t xml:space="preserve">1 сотрудник, 1000 стр/день</t>
  </si>
  <si>
    <t xml:space="preserve">ЧТО РАСШИРЯТЬ В ПЕРВУЮ ОЧЕРЕДЬ. Упираемся мы не в модель и не в деньги, а в шлюз: выше 32 одновременных вызовов он отказывает. При этом задержка одного вызова почти не растёт с параллельностью (12.8 с против 14.5 с при 32 одновременных) — это признак того, что сама модель ещё не загружена, а ограничение искусственное.</t>
  </si>
  <si>
    <t xml:space="preserve">Порядок расширения: 1) поднять потолок одновременных вызовов в шлюзе — это самая дешёвая мера и, судя по поведению задержки, даст рост почти линейно; 2) увеличить размер пачки или число документов в параллельной обработке — снимет ограничение на коротких документах; 3) только потом добавлять мощность модели.</t>
  </si>
  <si>
    <t xml:space="preserve">Сигнал к расширению — не число клиентов, а загрузка. Практический порог: 70% от 756 800 страниц в месяц, то есть около 530 000 страниц. По профилям это 24 тяжёлых клиента, 241 средний или 4 800 лёгких. Разброс в 200 раз означает, что планировать расширение по числу клиентов нельзя — только по фактической загрузке.</t>
  </si>
  <si>
    <t xml:space="preserve">Отдельно: сервис распознавания имён делает 18.5 обращения на страницу, то есть при 530 000 страниц в месяц — почти 10 млн обращений. Его пропускная способность не измерялась и может оказаться узким местом раньше шлюза. Это стоит замерить до того, как упрётесь.</t>
  </si>
  <si>
    <t xml:space="preserve">ЧЕТЫРЕ КОНСТРУКЦИИ ТАРИФА И ИХ ЮНИТ-ЭКОНОМИКА</t>
  </si>
  <si>
    <t xml:space="preserve">Задача: тариф не должен требовать от нас знания среднего клиента, потому что статистики нет.</t>
  </si>
  <si>
    <t xml:space="preserve">ПАРАМЕТРЫ КОНСТРУКЦИЙ — все цифры предложены расчётом, меняйте свободно</t>
  </si>
  <si>
    <t xml:space="preserve">K1. Платформа, ₽/мес (квоты нет)</t>
  </si>
  <si>
    <t xml:space="preserve">Все цены ниже выведены из расходов и из альтернативы клиента (20–60 ₽/стр ручной вычитки, число из предыдущего брифа). Рыночных данных и цен конкурентов у нас нет, поэтому это не «рыночные» цены, а «непротиворечивые расходам» цены.</t>
  </si>
  <si>
    <t xml:space="preserve">K1. Цена страницы с первой, ₽/стр</t>
  </si>
  <si>
    <t xml:space="preserve">K2. Подписка, ₽/мес</t>
  </si>
  <si>
    <t xml:space="preserve">K2. Включённая квота, стр</t>
  </si>
  <si>
    <t xml:space="preserve">K2. Цена сверх квоты, ₽/стр</t>
  </si>
  <si>
    <t xml:space="preserve">K3. Минимальный месячный чек, ₽</t>
  </si>
  <si>
    <t xml:space="preserve">K3. Включено в минимальный чек, стр</t>
  </si>
  <si>
    <t xml:space="preserve">K3. Ступень 1: до 3 000 стр, ₽/стр</t>
  </si>
  <si>
    <t xml:space="preserve">K3. Ступень 2: до 10 000 стр, ₽/стр</t>
  </si>
  <si>
    <t xml:space="preserve">K3. Ступень 3: до 30 000 стр, ₽/стр</t>
  </si>
  <si>
    <t xml:space="preserve">K3. Ступень 4: свыше 30 000 стр, ₽/стр</t>
  </si>
  <si>
    <t xml:space="preserve">K4. Цена рабочего места, ₽/мес</t>
  </si>
  <si>
    <t xml:space="preserve">K4. Минимум мест</t>
  </si>
  <si>
    <t xml:space="preserve">K4. Технический лимит, стр/место/мес</t>
  </si>
  <si>
    <t xml:space="preserve">ВЫРУЧКА ПО КОНСТРУКЦИЯМ НА ПЯТИ ПРОФИЛЯХ ПОТРЕБЛЕНИЯ</t>
  </si>
  <si>
    <t xml:space="preserve">Профиль</t>
  </si>
  <si>
    <t xml:space="preserve">5 стр/день
110 стр/мес</t>
  </si>
  <si>
    <t xml:space="preserve">20 стр/день
440 стр/мес</t>
  </si>
  <si>
    <t xml:space="preserve">100 стр/день
2 200 стр/мес</t>
  </si>
  <si>
    <t xml:space="preserve">300 стр/день
6 600 стр/мес</t>
  </si>
  <si>
    <t xml:space="preserve">1000 стр/день
22 000 стр/мес</t>
  </si>
  <si>
    <t xml:space="preserve">Комментарий</t>
  </si>
  <si>
    <t xml:space="preserve">K1. Гибрид: платформа + страницы</t>
  </si>
  <si>
    <t xml:space="preserve">Выручка следует за объёмом с первой страницы. Угадывать средний объём не нужно вообще.</t>
  </si>
  <si>
    <t xml:space="preserve">K2. Классика: подписка с квотой</t>
  </si>
  <si>
    <t xml:space="preserve">Все клиенты до 1 500 стр платят одинаково — это и есть ставка на угаданный средний объём.</t>
  </si>
  <si>
    <t xml:space="preserve">K3. Ступени по факту месяца</t>
  </si>
  <si>
    <t xml:space="preserve">Клиент не выбирает тариф. Ступень определяется постфактум по фактическому объёму.</t>
  </si>
  <si>
    <t xml:space="preserve">K4. За рабочее место</t>
  </si>
  <si>
    <t xml:space="preserve">Выручка не зависит от объёма вообще — только от числа людей.</t>
  </si>
  <si>
    <t xml:space="preserve">Альтернатива клиента (ручная вычитка), ₽/мес</t>
  </si>
  <si>
    <t xml:space="preserve">ЮНИТ-ЭКОНОМИКА КОНСТРУКЦИЙ (поштучная оплата токенов, самая дешёвая модель)</t>
  </si>
  <si>
    <t xml:space="preserve">K1. Гибрид</t>
  </si>
  <si>
    <t xml:space="preserve">110 стр</t>
  </si>
  <si>
    <t xml:space="preserve">440 стр</t>
  </si>
  <si>
    <t xml:space="preserve">2 200 стр</t>
  </si>
  <si>
    <t xml:space="preserve">6 600 стр</t>
  </si>
  <si>
    <t xml:space="preserve">22 000 стр</t>
  </si>
  <si>
    <t xml:space="preserve">Выручка, ₽/мес</t>
  </si>
  <si>
    <t xml:space="preserve">Токены, ₽/мес</t>
  </si>
  <si>
    <t xml:space="preserve">Поддержка (своё время), ₽/мес</t>
  </si>
  <si>
    <t xml:space="preserve">Валовая маржа, ₽/мес</t>
  </si>
  <si>
    <t xml:space="preserve">Валовая маржа, %</t>
  </si>
  <si>
    <t xml:space="preserve">Клиентов до безубыточности</t>
  </si>
  <si>
    <t xml:space="preserve">K2. Классика с квотой</t>
  </si>
  <si>
    <t xml:space="preserve">K3. Ступени по факту</t>
  </si>
  <si>
    <t xml:space="preserve">СРАВНЕНИЕ КОНСТРУКЦИЙ</t>
  </si>
  <si>
    <t xml:space="preserve">Критерий</t>
  </si>
  <si>
    <t xml:space="preserve">K2. Квота</t>
  </si>
  <si>
    <t xml:space="preserve">K3. Ступени</t>
  </si>
  <si>
    <t xml:space="preserve">K4. Места</t>
  </si>
  <si>
    <t xml:space="preserve">Выручка на лёгком клиенте (110 стр)</t>
  </si>
  <si>
    <t xml:space="preserve">Строки 66–67: доля выручки от того, что клиент тратит сейчас на ручную вычитку. Больше 100% — предложение дороже ручного труда и непродаваемо.</t>
  </si>
  <si>
    <t xml:space="preserve">Выручка на тяжёлом клиенте (22 000 стр)</t>
  </si>
  <si>
    <t xml:space="preserve">Разброс выручки на диапазоне x200</t>
  </si>
  <si>
    <t xml:space="preserve">Маржа на лёгком клиенте, %</t>
  </si>
  <si>
    <t xml:space="preserve">Маржа на тяжёлом клиенте, %</t>
  </si>
  <si>
    <t xml:space="preserve">Клиентов до нуля на лёгком клиенте</t>
  </si>
  <si>
    <t xml:space="preserve">Доля ценности клиента, изымаемая на 110 стр</t>
  </si>
  <si>
    <t xml:space="preserve">Доля ценности клиента, изымаемая на 22 000 стр</t>
  </si>
  <si>
    <t xml:space="preserve">ПОРОГ ЖИЗНЕСПОСОБНОСТИ КЛИЕНТА</t>
  </si>
  <si>
    <t xml:space="preserve">Ниже какого объёма клиенту нельзя продать ничего, что окупало бы нас</t>
  </si>
  <si>
    <t xml:space="preserve">Клиентов всего</t>
  </si>
  <si>
    <t xml:space="preserve">Наш пол на клиента, ₽/мес</t>
  </si>
  <si>
    <t xml:space="preserve">Нужно клиенту, стр/мес</t>
  </si>
  <si>
    <t xml:space="preserve">Нужно клиенту, стр/день</t>
  </si>
  <si>
    <t xml:space="preserve">Пол = доля постоянных расходов + поддержка. Клиент должен экономить хотя бы столько же на ручной вычитке.</t>
  </si>
  <si>
    <t xml:space="preserve">ВЫВОДЫ И РЕКОМЕНДАЦИЯ</t>
  </si>
  <si>
    <t xml:space="preserve">1. СЕБЕСТОИМОСТЬ</t>
  </si>
  <si>
    <t xml:space="preserve">Диапазон по всем моделям — от 0.0314 ₽ за страницу (Gemma 4 26B A4B с кэшем) до 0.161 ₽ (Qwen3.5-27B без кэша), разброс 5.1 раза. Три измеренных документа: от 0.09 до 0.84 ₽ на Gemma 26B с кэшем и от 0.45 до 4.40 ₽ на Qwen 27B без кэша.</t>
  </si>
  <si>
    <t xml:space="preserve">Вход даёт 74–89% расхода — прямое следствие измеренного соотношения 23:1. Выбирать модель надо по цене входа и цене чтения кэша.</t>
  </si>
  <si>
    <t xml:space="preserve">Кэширование даёт 31% экономии на Gemma 26B, но только 9.5% на Gemma 31B: у неё чтение кэша стоит 11.09 против входа 14.79, скидка всего 25% против 90% у остальных. Кэш выгоден не сам по себе, а только там, где поставщик даёт по нему настоящую скидку.</t>
  </si>
  <si>
    <t xml:space="preserve">Ваши прежние 0.083 ₽/стр — это ровно Gemma 4 31B без кэша, а 0.031 ₽/стр — Gemma 4 26B A4B с кэшем. Две независимые выгрузки сошлись.</t>
  </si>
  <si>
    <t xml:space="preserve">2. ФИКСИРОВАННЫЕ 30 000 ₽ НЕВЫГОДНЫ НИ ПРИ КАКОМ РЕАЛИСТИЧНОМ ОБЪЁМЕ</t>
  </si>
  <si>
    <t xml:space="preserve">Порог перехода — от 186 тыс. страниц в месяц на самой дорогой модели до 955 тыс. на самой дешёвой. Верхняя граница физически недостижима: месячная мощность сервиса при 8-часовом дне составляет 757 тыс. страниц. То есть на Gemma 26B с кэшем фиксированная плата не окупится никогда — раньше кончится железо.</t>
  </si>
  <si>
    <t xml:space="preserve">Нижняя граница (186 тыс. страниц) требует 84 клиентов, каждый из которых обрабатывает 100 страниц в день. Переход на поштучную оплату экономит почти все 30 000 ₽ в месяц при объёмах первых клиентов.</t>
  </si>
  <si>
    <t xml:space="preserve">3. РАЗБРОС ПОТРЕБЛЕНИЯ НА НАС ПОЧТИ НЕ ВЛИЯЕТ, А НА КЛИЕНТА ВЛИЯЕТ ПОЛНОСТЬЮ</t>
  </si>
  <si>
    <t xml:space="preserve">От 5 до 1000 страниц в день — разброс в 200 раз. Расход на токены при этом меняется от 3 до 3 554 ₽ в месяц. Даже верхняя граница меньше, чем два часа вашей поддержки. Наши расходы к объёму почти нечувствительны.</t>
  </si>
  <si>
    <t xml:space="preserve">У клиента то же изменение объёма меняет ценность от 4 400 до 880 000 ₽ сэкономленного ручного труда в месяц. Отсюда принцип: цена должна следовать за объёмом не потому, что объём нам дорого обходится, а потому, что объём — это мера полученной пользы.</t>
  </si>
  <si>
    <t xml:space="preserve">4. МОЩНОСТЬ: ТРИ РАЗНЫЕ ВЕЛИЧИНЫ</t>
  </si>
  <si>
    <t xml:space="preserve">Одновременных обращений к модели — 32, это потолок шлюза. Документов в обработке — 4 (32 вызова, пачки по 8), пятый ждёт. Пропускная способность — 4 300 страниц в час. Месячный предел — 757 тыс. страниц при 8-часовом дне, 3.1 млн при круглосуточной работе.</t>
  </si>
  <si>
    <t xml:space="preserve">Людей за работой — величина, зависящая от интенсивности: 34 тяжёлых сотрудника (1000 стр/день), 344 средних (100 стр/день) или 6 880 лёгких (5 стр/день). Прежняя оценка «20–34 пользователя» соответствует паузе 5–10 минут между документами, то есть очень плотной работе.</t>
  </si>
  <si>
    <t xml:space="preserve">Документов в час зависит от размера: у коротких документов ограничением становится число одновременных документов (408 док/час для договоров), у длинных — пропускная способность (145 док/час для транскриптов).</t>
  </si>
  <si>
    <t xml:space="preserve">5. ЧТО РАСШИРЯТЬ ПЕРВЫМ</t>
  </si>
  <si>
    <t xml:space="preserve">Шлюз. Задержка одного вызова почти не растёт с параллельностью — 12.8 с против 14.5 с при 32 одновременных. Это признак того, что модель ещё не загружена, а ограничение в 32 вызова искусственное. Поднятие этого потолка — самая дешёвая мера, и она должна дать почти линейный рост.</t>
  </si>
  <si>
    <t xml:space="preserve">Порядок: 1) потолок одновременных вызовов в шлюзе; 2) число документов в параллельной обработке — снимет ограничение на коротких документах; 3) мощность самой модели. Отдельно замерить сервис распознавания имён: 18.5 обращения на страницу означает почти 10 млн обращений в месяц на пороге расширения, и его потолок никто не измерял.</t>
  </si>
  <si>
    <t xml:space="preserve">Сигнал к расширению — загрузка, а не число клиентов: 70% от 757 тыс. страниц, то есть около 530 тыс. По профилям это 24 тяжёлых клиента, 241 средний или 4 800 лёгких. Разброс в 200 раз делает планирование по числу клиентов бессмысленным.</t>
  </si>
  <si>
    <t xml:space="preserve">6. ТАРИФ: ЧТО РЕКОМЕНДУЕТСЯ</t>
  </si>
  <si>
    <t xml:space="preserve">Рекомендуется K3 — минимальный чек 9 900 ₽ (включает 500 страниц) плюс убывающие ступени: 8 ₽/стр до 3 000, 6 ₽ до 10 000, 4 ₽ до 30 000, 3 ₽ дальше. Ступень определяется по факту месяца, клиент ничего не выбирает заранее.</t>
  </si>
  <si>
    <t xml:space="preserve">Почему именно так, с учётом того, что среднего клиента мы не знаем: минимальный чек покрывает наш пол независимо от объёма; ступени заставляют выручку следовать за объёмом без нашего участия; убывающие ставки встроены в одну конструкцию, поэтому не возникает лестницы тарифов, на которой клиенту выгодно застрять внизу — а такая лестница ломалась в прежнем прайсе.</t>
  </si>
  <si>
    <t xml:space="preserve">Экономика K3: маржа 39% на клиенте в 110 страниц, 74% на 2 200 страницах, 94% на 22 000. Безубыточность — 3 клиента на самом лёгком профиле и 1 клиент начиная с 2 200 страниц в месяц. Изымаемая доля ценности клиента падает с ростом объёма с 225% до 14%, то есть крупному клиенту предложение становится всё выгоднее — это и удерживает его от ухода.</t>
  </si>
  <si>
    <t xml:space="preserve">Альтернатива, которую стоит проверить отдельно: K4, оплата за рабочее место (4 900 ₽/место, минимум 3). Она структурно честнее, потому что мощность сервиса упирается в одновременных пользователей, а расходы — в часы поддержки; ни то, ни другое не измеряется страницами. Маржа K4 держится ровно на 58–59% на всём 200-кратном диапазоне — это самая предсказуемая конструкция. Плата за это — на тяжёлом клиенте K4 даёт 49 000 ₽ против 120 000 ₽ у K3.</t>
  </si>
  <si>
    <t xml:space="preserve">K2 (классическая подписка с квотой 1 500 страниц) хуже остальных именно в той части, которая вас беспокоит: все клиенты объёмом до 1 500 страниц платят одинаковые 19 900 ₽, то есть конструкция целиком построена на угаданном среднем объёме. На клиенте в 110 страниц она изымает 452% его ручных расходов — такому клиенту её продать нельзя.</t>
  </si>
  <si>
    <t xml:space="preserve">7. ПОРОГ, НИЖЕ КОТОРОГО КЛИЕНТА НЕ СТОИТ БРАТЬ</t>
  </si>
  <si>
    <t xml:space="preserve">При одном клиенте наш пол — 14 000 ₽ в месяц (8 000 постоянных + 6 000 поддержки), и клиент должен экономить хотя бы столько же: это 350 страниц в месяц, около 16 страниц в день. При десяти клиентах порог падает до 170 страниц в месяц. Профиль «5 страниц в день» лежит ниже порога при любом числе клиентов — такому заказчику нельзя продать ничего, что окупало бы нас.</t>
  </si>
  <si>
    <t xml:space="preserve">8. ЧЕГО В ЭТОМ РАСЧЁТЕ НЕТ</t>
  </si>
  <si>
    <t xml:space="preserve">Рыночных данных, спроса, конверсии, цен конкурентов, оттока, стоимости привлечения и налогов. Ничего из этого не выдумано. Стоимость ручной вычитки 20–60 ₽/стр взята из вашего предыдущего брифа, а не из текущего задания, и помечена соответственно.</t>
  </si>
  <si>
    <t xml:space="preserve">Восемь вопросов, ответы на которые уточнят расчёт, перечислены внизу листа «Допущения_и_данные». Самые важные — первый (есть ли кэширование вообще) и четвёртый (реальные часы поддержки): они меняют не точность, а выводы.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</si>
</sst>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;\(#,##0.00\);&quot;- &quot;"/>
    <numFmt numFmtId="166" formatCode="0.0%;\(0.0%\);&quot;- &quot;"/>
    <numFmt numFmtId="167" formatCode="#,##0;\(#,##0\);&quot;- &quot;"/>
    <numFmt numFmtId="168" formatCode="#,##0.0;\(#,##0.0\);&quot;- &quot;"/>
    <numFmt numFmtId="169" formatCode="0.0\x"/>
    <numFmt numFmtId="170" formatCode="#,##0&quot;  ₽&quot;;\(#,##0&quot;) ₽&quot;;&quot;- &quot;"/>
    <numFmt numFmtId="171" formatCode="#,##0.00&quot;  ₽&quot;;\(#,##0.00&quot;) ₽&quot;;&quot;- &quot;"/>
    <numFmt numFmtId="172" formatCode="0.0000&quot;  ₽&quot;;\(0.0000&quot;) ₽&quot;;&quot;- &quot;"/>
    <numFmt numFmtId="173" formatCode="0.000%;\(0.000%\);&quot;- 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4"/>
    <col collapsed="false" customWidth="true" hidden="false" outlineLevel="0" max="9" min="9" style="0" width="15"/>
    <col collapsed="false" customWidth="true" hidden="false" outlineLevel="0" max="10" min="10" style="0" width="8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</row>
    <row r="7" customFormat="false" ht="15" hidden="false" customHeight="false" outlineLevel="0" collapsed="false">
      <c r="A7" s="6" t="s">
        <v>10</v>
      </c>
      <c r="B7" s="7" t="n">
        <v>7.4</v>
      </c>
      <c r="C7" s="7" t="n">
        <v>40.68</v>
      </c>
      <c r="D7" s="7" t="n">
        <v>0.74</v>
      </c>
      <c r="E7" s="8" t="s">
        <v>11</v>
      </c>
      <c r="F7" s="9" t="n">
        <f aca="false">1-D7/B7</f>
        <v>0.9</v>
      </c>
      <c r="J7" s="2" t="s">
        <v>12</v>
      </c>
    </row>
    <row r="8" customFormat="false" ht="15" hidden="false" customHeight="false" outlineLevel="0" collapsed="false">
      <c r="A8" s="6" t="s">
        <v>13</v>
      </c>
      <c r="B8" s="7" t="n">
        <v>14.79</v>
      </c>
      <c r="C8" s="7" t="n">
        <v>43.15</v>
      </c>
      <c r="D8" s="7" t="n">
        <v>11.09</v>
      </c>
      <c r="E8" s="8" t="s">
        <v>11</v>
      </c>
      <c r="F8" s="9" t="n">
        <f aca="false">1-D8/B8</f>
        <v>0.250169033130494</v>
      </c>
      <c r="J8" s="2" t="s">
        <v>14</v>
      </c>
    </row>
    <row r="9" customFormat="false" ht="15" hidden="false" customHeight="false" outlineLevel="0" collapsed="false">
      <c r="A9" s="6" t="s">
        <v>15</v>
      </c>
      <c r="B9" s="7" t="n">
        <v>24.04</v>
      </c>
      <c r="C9" s="7" t="n">
        <v>192.31</v>
      </c>
      <c r="D9" s="7" t="n">
        <v>2.4</v>
      </c>
      <c r="E9" s="8" t="s">
        <v>11</v>
      </c>
      <c r="F9" s="9" t="n">
        <f aca="false">1-D9/B9</f>
        <v>0.900166389351082</v>
      </c>
    </row>
    <row r="10" customFormat="false" ht="15" hidden="false" customHeight="false" outlineLevel="0" collapsed="false">
      <c r="A10" s="6" t="s">
        <v>16</v>
      </c>
      <c r="B10" s="7" t="n">
        <v>17.26</v>
      </c>
      <c r="C10" s="7" t="n">
        <v>123.27</v>
      </c>
      <c r="D10" s="7" t="n">
        <v>1.73</v>
      </c>
      <c r="E10" s="8" t="s">
        <v>11</v>
      </c>
      <c r="F10" s="9" t="n">
        <f aca="false">1-D10/B10</f>
        <v>0.899768250289687</v>
      </c>
    </row>
    <row r="11" customFormat="false" ht="27.75" hidden="false" customHeight="true" outlineLevel="0" collapsed="false">
      <c r="A11" s="10" t="s">
        <v>17</v>
      </c>
      <c r="J11" s="2" t="s">
        <v>18</v>
      </c>
    </row>
    <row r="13" customFormat="false" ht="15" hidden="false" customHeight="false" outlineLevel="0" collapsed="false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customFormat="false" ht="30" hidden="false" customHeight="true" outlineLevel="0" collapsed="false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</row>
    <row r="15" customFormat="false" ht="15" hidden="false" customHeight="false" outlineLevel="0" collapsed="false">
      <c r="A15" s="6" t="s">
        <v>28</v>
      </c>
      <c r="B15" s="11" t="n">
        <v>2493</v>
      </c>
      <c r="C15" s="12" t="n">
        <v>1.4</v>
      </c>
      <c r="D15" s="11" t="n">
        <v>4</v>
      </c>
      <c r="E15" s="11" t="n">
        <v>9138</v>
      </c>
      <c r="F15" s="11" t="n">
        <v>1179</v>
      </c>
      <c r="G15" s="11" t="n">
        <v>35.3</v>
      </c>
      <c r="H15" s="11" t="n">
        <v>36</v>
      </c>
    </row>
    <row r="16" customFormat="false" ht="15" hidden="false" customHeight="false" outlineLevel="0" collapsed="false">
      <c r="A16" s="6" t="s">
        <v>29</v>
      </c>
      <c r="B16" s="11" t="n">
        <v>16888</v>
      </c>
      <c r="C16" s="12" t="n">
        <v>9.4</v>
      </c>
      <c r="D16" s="11" t="n">
        <v>12</v>
      </c>
      <c r="E16" s="11" t="n">
        <v>32193</v>
      </c>
      <c r="F16" s="11" t="n">
        <v>4766</v>
      </c>
      <c r="G16" s="11" t="n">
        <v>80.7</v>
      </c>
      <c r="H16" s="11" t="n">
        <v>160</v>
      </c>
    </row>
    <row r="17" customFormat="false" ht="15" hidden="false" customHeight="false" outlineLevel="0" collapsed="false">
      <c r="A17" s="6" t="s">
        <v>30</v>
      </c>
      <c r="B17" s="11" t="n">
        <v>53460</v>
      </c>
      <c r="C17" s="12" t="n">
        <v>29.7</v>
      </c>
      <c r="D17" s="11" t="n">
        <v>57</v>
      </c>
      <c r="E17" s="11" t="n">
        <v>160344</v>
      </c>
      <c r="F17" s="11" t="n">
        <v>2834</v>
      </c>
      <c r="G17" s="11" t="n">
        <v>75.9</v>
      </c>
      <c r="H17" s="11" t="n">
        <v>552</v>
      </c>
    </row>
    <row r="18" customFormat="false" ht="15" hidden="false" customHeight="false" outlineLevel="0" collapsed="false">
      <c r="A18" s="13" t="s">
        <v>31</v>
      </c>
      <c r="B18" s="14" t="n">
        <f aca="false">SUM(B15:B17)</f>
        <v>72841</v>
      </c>
      <c r="C18" s="15" t="n">
        <f aca="false">SUM(C15:C17)</f>
        <v>40.5</v>
      </c>
      <c r="D18" s="14" t="n">
        <f aca="false">SUM(D15:D17)</f>
        <v>73</v>
      </c>
      <c r="E18" s="14" t="n">
        <f aca="false">SUM(E15:E17)</f>
        <v>201675</v>
      </c>
      <c r="F18" s="14" t="n">
        <f aca="false">SUM(F15:F17)</f>
        <v>8779</v>
      </c>
      <c r="G18" s="14" t="n">
        <f aca="false">SUM(G15:G17)</f>
        <v>191.9</v>
      </c>
      <c r="H18" s="14" t="n">
        <f aca="false">SUM(H15:H17)</f>
        <v>748</v>
      </c>
    </row>
    <row r="20" customFormat="false" ht="15" hidden="false" customHeight="false" outlineLevel="0" collapsed="false">
      <c r="A20" s="16" t="s">
        <v>32</v>
      </c>
      <c r="B20" s="17" t="n">
        <v>1800</v>
      </c>
      <c r="I20" s="18" t="s">
        <v>33</v>
      </c>
    </row>
    <row r="21" customFormat="false" ht="15" hidden="false" customHeight="false" outlineLevel="0" collapsed="false">
      <c r="A21" s="16" t="s">
        <v>34</v>
      </c>
      <c r="B21" s="19" t="n">
        <f aca="false">E18/C18</f>
        <v>4979.62962962963</v>
      </c>
      <c r="J21" s="2" t="s">
        <v>35</v>
      </c>
    </row>
    <row r="22" customFormat="false" ht="15" hidden="false" customHeight="false" outlineLevel="0" collapsed="false">
      <c r="A22" s="16" t="s">
        <v>36</v>
      </c>
      <c r="B22" s="19" t="n">
        <f aca="false">F18/C18</f>
        <v>216.765432098765</v>
      </c>
      <c r="J22" s="2" t="s">
        <v>37</v>
      </c>
    </row>
    <row r="23" customFormat="false" ht="15" hidden="false" customHeight="false" outlineLevel="0" collapsed="false">
      <c r="A23" s="16" t="s">
        <v>38</v>
      </c>
      <c r="B23" s="20" t="n">
        <f aca="false">E18/F18</f>
        <v>22.9724342180203</v>
      </c>
      <c r="J23" s="2" t="s">
        <v>39</v>
      </c>
    </row>
    <row r="24" customFormat="false" ht="15" hidden="false" customHeight="false" outlineLevel="0" collapsed="false">
      <c r="A24" s="16" t="s">
        <v>40</v>
      </c>
      <c r="B24" s="21" t="n">
        <f aca="false">D18/C18</f>
        <v>1.80246913580247</v>
      </c>
      <c r="J24" s="2" t="s">
        <v>41</v>
      </c>
    </row>
    <row r="25" customFormat="false" ht="15" hidden="false" customHeight="false" outlineLevel="0" collapsed="false">
      <c r="A25" s="16" t="s">
        <v>42</v>
      </c>
      <c r="B25" s="22" t="n">
        <f aca="false">H18/C18</f>
        <v>18.4691358024691</v>
      </c>
      <c r="J25" s="2" t="s">
        <v>43</v>
      </c>
    </row>
    <row r="26" customFormat="false" ht="15" hidden="false" customHeight="false" outlineLevel="0" collapsed="false">
      <c r="A26" s="16" t="s">
        <v>44</v>
      </c>
      <c r="B26" s="23" t="n">
        <f aca="false">C18/3</f>
        <v>13.5</v>
      </c>
      <c r="I26" s="18" t="s">
        <v>45</v>
      </c>
      <c r="J26" s="2" t="s">
        <v>46</v>
      </c>
    </row>
    <row r="28" customFormat="false" ht="27.75" hidden="false" customHeight="true" outlineLevel="0" collapsed="false">
      <c r="A28" s="16" t="s">
        <v>47</v>
      </c>
      <c r="B28" s="24" t="n">
        <v>0.43</v>
      </c>
      <c r="I28" s="18" t="s">
        <v>33</v>
      </c>
      <c r="J28" s="2" t="s">
        <v>48</v>
      </c>
    </row>
    <row r="29" customFormat="false" ht="15" hidden="false" customHeight="false" outlineLevel="0" collapsed="false">
      <c r="A29" s="16" t="s">
        <v>49</v>
      </c>
      <c r="B29" s="25" t="n">
        <f aca="false">B28</f>
        <v>0.43</v>
      </c>
      <c r="I29" s="18" t="s">
        <v>45</v>
      </c>
      <c r="J29" s="2" t="s">
        <v>50</v>
      </c>
    </row>
    <row r="31" customFormat="false" ht="15" hidden="false" customHeight="false" outlineLevel="0" collapsed="false">
      <c r="A31" s="3" t="s">
        <v>51</v>
      </c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false" outlineLevel="0" collapsed="false">
      <c r="A32" s="16" t="s">
        <v>52</v>
      </c>
      <c r="B32" s="26" t="n">
        <v>30000</v>
      </c>
      <c r="I32" s="18" t="s">
        <v>33</v>
      </c>
    </row>
    <row r="34" customFormat="false" ht="15" hidden="false" customHeight="false" outlineLevel="0" collapsed="false">
      <c r="A34" s="3" t="s">
        <v>53</v>
      </c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false" outlineLevel="0" collapsed="false">
      <c r="A35" s="16" t="s">
        <v>54</v>
      </c>
      <c r="B35" s="27" t="n">
        <v>12.8</v>
      </c>
      <c r="I35" s="18" t="s">
        <v>33</v>
      </c>
      <c r="J35" s="2" t="s">
        <v>33</v>
      </c>
    </row>
    <row r="36" customFormat="false" ht="15" hidden="false" customHeight="false" outlineLevel="0" collapsed="false">
      <c r="A36" s="16" t="s">
        <v>55</v>
      </c>
      <c r="B36" s="27" t="n">
        <v>14.5</v>
      </c>
      <c r="I36" s="18" t="s">
        <v>33</v>
      </c>
      <c r="J36" s="2" t="s">
        <v>56</v>
      </c>
    </row>
    <row r="37" customFormat="false" ht="15" hidden="false" customHeight="false" outlineLevel="0" collapsed="false">
      <c r="A37" s="16" t="s">
        <v>57</v>
      </c>
      <c r="B37" s="28" t="n">
        <v>2.15</v>
      </c>
      <c r="I37" s="18" t="s">
        <v>33</v>
      </c>
      <c r="J37" s="2" t="s">
        <v>33</v>
      </c>
    </row>
    <row r="38" customFormat="false" ht="15" hidden="false" customHeight="false" outlineLevel="0" collapsed="false">
      <c r="A38" s="16" t="s">
        <v>58</v>
      </c>
      <c r="B38" s="17" t="n">
        <v>32</v>
      </c>
      <c r="I38" s="18" t="s">
        <v>33</v>
      </c>
      <c r="J38" s="2" t="s">
        <v>33</v>
      </c>
    </row>
    <row r="39" customFormat="false" ht="15" hidden="false" customHeight="false" outlineLevel="0" collapsed="false">
      <c r="A39" s="16" t="s">
        <v>59</v>
      </c>
      <c r="B39" s="17" t="n">
        <v>8</v>
      </c>
      <c r="I39" s="18" t="s">
        <v>33</v>
      </c>
      <c r="J39" s="2" t="s">
        <v>33</v>
      </c>
    </row>
    <row r="40" customFormat="false" ht="15" hidden="false" customHeight="false" outlineLevel="0" collapsed="false">
      <c r="A40" s="16" t="s">
        <v>60</v>
      </c>
      <c r="B40" s="29" t="n">
        <v>78</v>
      </c>
      <c r="I40" s="18" t="s">
        <v>45</v>
      </c>
      <c r="J40" s="2" t="s">
        <v>61</v>
      </c>
    </row>
    <row r="42" customFormat="false" ht="15" hidden="false" customHeight="false" outlineLevel="0" collapsed="false">
      <c r="A42" s="3" t="s">
        <v>62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false" outlineLevel="0" collapsed="false">
      <c r="A43" s="16" t="s">
        <v>63</v>
      </c>
      <c r="B43" s="29" t="n">
        <v>22</v>
      </c>
      <c r="I43" s="18" t="s">
        <v>45</v>
      </c>
      <c r="J43" s="2" t="s">
        <v>64</v>
      </c>
    </row>
    <row r="44" customFormat="false" ht="15" hidden="false" customHeight="false" outlineLevel="0" collapsed="false">
      <c r="A44" s="16" t="s">
        <v>65</v>
      </c>
      <c r="B44" s="29" t="n">
        <v>8</v>
      </c>
      <c r="I44" s="18" t="s">
        <v>45</v>
      </c>
      <c r="J44" s="2" t="s">
        <v>66</v>
      </c>
    </row>
    <row r="45" customFormat="false" ht="15" hidden="false" customHeight="false" outlineLevel="0" collapsed="false">
      <c r="A45" s="16" t="s">
        <v>67</v>
      </c>
      <c r="B45" s="30" t="n">
        <v>0.7</v>
      </c>
      <c r="I45" s="18" t="s">
        <v>45</v>
      </c>
      <c r="J45" s="2" t="s">
        <v>68</v>
      </c>
    </row>
    <row r="46" customFormat="false" ht="27.75" hidden="false" customHeight="true" outlineLevel="0" collapsed="false">
      <c r="A46" s="16" t="s">
        <v>69</v>
      </c>
      <c r="B46" s="31" t="n">
        <v>3000</v>
      </c>
      <c r="I46" s="18" t="s">
        <v>45</v>
      </c>
      <c r="J46" s="2" t="s">
        <v>70</v>
      </c>
    </row>
    <row r="47" customFormat="false" ht="15" hidden="false" customHeight="false" outlineLevel="0" collapsed="false">
      <c r="A47" s="16" t="s">
        <v>71</v>
      </c>
      <c r="B47" s="31" t="n">
        <v>5000</v>
      </c>
      <c r="I47" s="18" t="s">
        <v>45</v>
      </c>
      <c r="J47" s="2" t="s">
        <v>72</v>
      </c>
    </row>
    <row r="48" customFormat="false" ht="15" hidden="false" customHeight="false" outlineLevel="0" collapsed="false">
      <c r="A48" s="16" t="s">
        <v>73</v>
      </c>
      <c r="B48" s="32" t="n">
        <v>3</v>
      </c>
      <c r="I48" s="18" t="s">
        <v>45</v>
      </c>
      <c r="J48" s="2" t="s">
        <v>74</v>
      </c>
    </row>
    <row r="49" customFormat="false" ht="15" hidden="false" customHeight="false" outlineLevel="0" collapsed="false">
      <c r="A49" s="16" t="s">
        <v>75</v>
      </c>
      <c r="B49" s="31" t="n">
        <v>2000</v>
      </c>
      <c r="I49" s="18" t="s">
        <v>45</v>
      </c>
      <c r="J49" s="2" t="s">
        <v>76</v>
      </c>
    </row>
    <row r="50" customFormat="false" ht="15" hidden="false" customHeight="false" outlineLevel="0" collapsed="false">
      <c r="A50" s="16" t="s">
        <v>77</v>
      </c>
      <c r="B50" s="31" t="n">
        <v>20</v>
      </c>
      <c r="I50" s="18" t="s">
        <v>45</v>
      </c>
      <c r="J50" s="2" t="s">
        <v>78</v>
      </c>
    </row>
    <row r="51" customFormat="false" ht="15" hidden="false" customHeight="false" outlineLevel="0" collapsed="false">
      <c r="A51" s="16" t="s">
        <v>79</v>
      </c>
      <c r="B51" s="31" t="n">
        <v>60</v>
      </c>
      <c r="I51" s="18" t="s">
        <v>45</v>
      </c>
      <c r="J51" s="2" t="s">
        <v>80</v>
      </c>
    </row>
    <row r="52" customFormat="false" ht="15" hidden="false" customHeight="false" outlineLevel="0" collapsed="false">
      <c r="A52" s="16" t="s">
        <v>81</v>
      </c>
      <c r="B52" s="31" t="n">
        <v>0</v>
      </c>
      <c r="I52" s="18" t="s">
        <v>45</v>
      </c>
      <c r="J52" s="2" t="s">
        <v>82</v>
      </c>
    </row>
    <row r="54" customFormat="false" ht="15" hidden="false" customHeight="false" outlineLevel="0" collapsed="false">
      <c r="A54" s="10" t="s">
        <v>83</v>
      </c>
      <c r="B54" s="33" t="n">
        <f aca="false">B46+B47</f>
        <v>8000</v>
      </c>
      <c r="J54" s="2" t="s">
        <v>84</v>
      </c>
    </row>
    <row r="55" customFormat="false" ht="15" hidden="false" customHeight="false" outlineLevel="0" collapsed="false">
      <c r="A55" s="10" t="s">
        <v>85</v>
      </c>
      <c r="B55" s="33" t="n">
        <f aca="false">B32+B46+B47</f>
        <v>38000</v>
      </c>
    </row>
    <row r="56" customFormat="false" ht="15" hidden="false" customHeight="false" outlineLevel="0" collapsed="false">
      <c r="A56" s="10" t="s">
        <v>86</v>
      </c>
      <c r="B56" s="33" t="n">
        <f aca="false">B48*B49</f>
        <v>6000</v>
      </c>
    </row>
    <row r="57" customFormat="false" ht="15" hidden="false" customHeight="false" outlineLevel="0" collapsed="false">
      <c r="A57" s="10" t="s">
        <v>87</v>
      </c>
      <c r="B57" s="33" t="n">
        <f aca="false">AVERAGE(B50:B51)</f>
        <v>40</v>
      </c>
    </row>
    <row r="59" customFormat="false" ht="15" hidden="false" customHeight="false" outlineLevel="0" collapsed="false">
      <c r="A59" s="3" t="s">
        <v>88</v>
      </c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8.75" hidden="false" customHeight="true" outlineLevel="0" collapsed="false">
      <c r="A60" s="34" t="s">
        <v>89</v>
      </c>
      <c r="B60" s="34"/>
      <c r="C60" s="34"/>
      <c r="D60" s="34"/>
      <c r="E60" s="34"/>
      <c r="F60" s="34"/>
      <c r="G60" s="34"/>
      <c r="H60" s="34"/>
      <c r="I60" s="34"/>
      <c r="J60" s="34"/>
    </row>
    <row r="61" customFormat="false" ht="18.75" hidden="false" customHeight="true" outlineLevel="0" collapsed="false">
      <c r="A61" s="34" t="s">
        <v>90</v>
      </c>
      <c r="B61" s="34"/>
      <c r="C61" s="34"/>
      <c r="D61" s="34"/>
      <c r="E61" s="34"/>
      <c r="F61" s="34"/>
      <c r="G61" s="34"/>
      <c r="H61" s="34"/>
      <c r="I61" s="34"/>
      <c r="J61" s="34"/>
    </row>
    <row r="62" customFormat="false" ht="18.75" hidden="false" customHeight="true" outlineLevel="0" collapsed="false">
      <c r="A62" s="34" t="s">
        <v>91</v>
      </c>
      <c r="B62" s="34"/>
      <c r="C62" s="34"/>
      <c r="D62" s="34"/>
      <c r="E62" s="34"/>
      <c r="F62" s="34"/>
      <c r="G62" s="34"/>
      <c r="H62" s="34"/>
      <c r="I62" s="34"/>
      <c r="J62" s="34"/>
    </row>
    <row r="63" customFormat="false" ht="18.75" hidden="false" customHeight="true" outlineLevel="0" collapsed="false">
      <c r="A63" s="34" t="s">
        <v>92</v>
      </c>
      <c r="B63" s="34"/>
      <c r="C63" s="34"/>
      <c r="D63" s="34"/>
      <c r="E63" s="34"/>
      <c r="F63" s="34"/>
      <c r="G63" s="34"/>
      <c r="H63" s="34"/>
      <c r="I63" s="34"/>
      <c r="J63" s="34"/>
    </row>
    <row r="64" customFormat="false" ht="18.75" hidden="false" customHeight="true" outlineLevel="0" collapsed="false">
      <c r="A64" s="34" t="s">
        <v>93</v>
      </c>
      <c r="B64" s="34"/>
      <c r="C64" s="34"/>
      <c r="D64" s="34"/>
      <c r="E64" s="34"/>
      <c r="F64" s="34"/>
      <c r="G64" s="34"/>
      <c r="H64" s="34"/>
      <c r="I64" s="34"/>
      <c r="J64" s="34"/>
    </row>
    <row r="65" customFormat="false" ht="18.75" hidden="false" customHeight="true" outlineLevel="0" collapsed="false">
      <c r="A65" s="34" t="s">
        <v>94</v>
      </c>
      <c r="B65" s="34"/>
      <c r="C65" s="34"/>
      <c r="D65" s="34"/>
      <c r="E65" s="34"/>
      <c r="F65" s="34"/>
      <c r="G65" s="34"/>
      <c r="H65" s="34"/>
      <c r="I65" s="34"/>
      <c r="J65" s="34"/>
    </row>
    <row r="66" customFormat="false" ht="33.75" hidden="false" customHeight="true" outlineLevel="0" collapsed="false">
      <c r="A66" s="34" t="s">
        <v>95</v>
      </c>
      <c r="B66" s="34"/>
      <c r="C66" s="34"/>
      <c r="D66" s="34"/>
      <c r="E66" s="34"/>
      <c r="F66" s="34"/>
      <c r="G66" s="34"/>
      <c r="H66" s="34"/>
      <c r="I66" s="34"/>
      <c r="J66" s="34"/>
    </row>
    <row r="67" customFormat="false" ht="18.75" hidden="false" customHeight="true" outlineLevel="0" collapsed="false">
      <c r="A67" s="34" t="s">
        <v>96</v>
      </c>
      <c r="B67" s="34"/>
      <c r="C67" s="34"/>
      <c r="D67" s="34"/>
      <c r="E67" s="34"/>
      <c r="F67" s="34"/>
      <c r="G67" s="34"/>
      <c r="H67" s="34"/>
      <c r="I67" s="34"/>
      <c r="J67" s="34"/>
    </row>
  </sheetData>
  <mergeCells count="8">
    <mergeCell ref="A60:J60"/>
    <mergeCell ref="A61:J61"/>
    <mergeCell ref="A62:J62"/>
    <mergeCell ref="A63:J63"/>
    <mergeCell ref="A64:J64"/>
    <mergeCell ref="A65:J65"/>
    <mergeCell ref="A66:J66"/>
    <mergeCell ref="A67:J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5"/>
    <col collapsed="false" customWidth="true" hidden="false" outlineLevel="0" max="9" min="9" style="0" width="74"/>
  </cols>
  <sheetData>
    <row r="1" customFormat="false" ht="16.1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3" t="s">
        <v>99</v>
      </c>
      <c r="B4" s="3"/>
      <c r="C4" s="3"/>
      <c r="D4" s="3"/>
      <c r="E4" s="3"/>
      <c r="F4" s="3"/>
      <c r="G4" s="3"/>
      <c r="H4" s="3"/>
      <c r="I4" s="3"/>
    </row>
    <row r="5" customFormat="false" ht="31.5" hidden="false" customHeight="true" outlineLevel="0" collapsed="false">
      <c r="A5" s="4" t="s">
        <v>4</v>
      </c>
      <c r="B5" s="4" t="s">
        <v>100</v>
      </c>
      <c r="C5" s="4" t="s">
        <v>101</v>
      </c>
      <c r="D5" s="4" t="s">
        <v>102</v>
      </c>
      <c r="E5" s="4" t="s">
        <v>103</v>
      </c>
      <c r="F5" s="4" t="s">
        <v>104</v>
      </c>
      <c r="G5" s="4" t="s">
        <v>105</v>
      </c>
      <c r="H5" s="4" t="s">
        <v>106</v>
      </c>
    </row>
    <row r="6" customFormat="false" ht="15" hidden="false" customHeight="false" outlineLevel="0" collapsed="false">
      <c r="A6" s="6" t="s">
        <v>10</v>
      </c>
      <c r="B6" s="35" t="n">
        <f aca="false">(Допущения_и_данные!$E$15*Допущения_и_данные!$B$7+Допущения_и_данные!$F$15*Допущения_и_данные!$C$7)/1000000</f>
        <v>0.11558292</v>
      </c>
      <c r="C6" s="35" t="n">
        <f aca="false">(Допущения_и_данные!$E$16*Допущения_и_данные!$B$7+Допущения_и_данные!$F$16*Допущения_и_данные!$C$7)/1000000</f>
        <v>0.43210908</v>
      </c>
      <c r="D6" s="35" t="n">
        <f aca="false">(Допущения_и_данные!$E$17*Допущения_и_данные!$B$7+Допущения_и_данные!$F$17*Допущения_и_данные!$C$7)/1000000</f>
        <v>1.30183272</v>
      </c>
      <c r="E6" s="36" t="n">
        <f aca="false">B6/Допущения_и_данные!$C$15</f>
        <v>0.0825592285714286</v>
      </c>
      <c r="F6" s="36" t="n">
        <f aca="false">C6/Допущения_и_данные!$C$16</f>
        <v>0.0459690510638298</v>
      </c>
      <c r="G6" s="36" t="n">
        <f aca="false">D6/Допущения_и_данные!$C$17</f>
        <v>0.0438327515151515</v>
      </c>
      <c r="H6" s="37" t="n">
        <f aca="false">((Допущения_и_данные!$E$18/Допущения_и_данные!$C$18)*Допущения_и_данные!$B$7+(Допущения_и_данные!$F$18/Допущения_и_данные!$C$18)*Допущения_и_данные!$C$7)/1000000</f>
        <v>0.045667277037037</v>
      </c>
    </row>
    <row r="7" customFormat="false" ht="15" hidden="false" customHeight="false" outlineLevel="0" collapsed="false">
      <c r="A7" s="6" t="s">
        <v>13</v>
      </c>
      <c r="B7" s="35" t="n">
        <f aca="false">(Допущения_и_данные!$E$15*Допущения_и_данные!$B$8+Допущения_и_данные!$F$15*Допущения_и_данные!$C$8)/1000000</f>
        <v>0.18602487</v>
      </c>
      <c r="C7" s="35" t="n">
        <f aca="false">(Допущения_и_данные!$E$16*Допущения_и_данные!$B$8+Допущения_и_данные!$F$16*Допущения_и_данные!$C$8)/1000000</f>
        <v>0.68178737</v>
      </c>
      <c r="D7" s="35" t="n">
        <f aca="false">(Допущения_и_данные!$E$17*Допущения_и_данные!$B$8+Допущения_и_данные!$F$17*Допущения_и_данные!$C$8)/1000000</f>
        <v>2.49377486</v>
      </c>
      <c r="E7" s="36" t="n">
        <f aca="false">B7/Допущения_и_данные!$C$15</f>
        <v>0.132874907142857</v>
      </c>
      <c r="F7" s="36" t="n">
        <f aca="false">C7/Допущения_и_данные!$C$16</f>
        <v>0.0725305712765958</v>
      </c>
      <c r="G7" s="36" t="n">
        <f aca="false">D7/Допущения_и_данные!$C$17</f>
        <v>0.0839654835016835</v>
      </c>
      <c r="H7" s="37" t="n">
        <f aca="false">((Допущения_и_данные!$E$18/Допущения_и_данные!$C$18)*Допущения_и_данные!$B$8+(Допущения_и_данные!$F$18/Допущения_и_данные!$C$18)*Допущения_и_данные!$C$8)/1000000</f>
        <v>0.0830021506172839</v>
      </c>
    </row>
    <row r="8" customFormat="false" ht="15" hidden="false" customHeight="false" outlineLevel="0" collapsed="false">
      <c r="A8" s="6" t="s">
        <v>15</v>
      </c>
      <c r="B8" s="35" t="n">
        <f aca="false">(Допущения_и_данные!$E$15*Допущения_и_данные!$B$9+Допущения_и_данные!$F$15*Допущения_и_данные!$C$9)/1000000</f>
        <v>0.44641101</v>
      </c>
      <c r="C8" s="35" t="n">
        <f aca="false">(Допущения_и_данные!$E$16*Допущения_и_данные!$B$9+Допущения_и_данные!$F$16*Допущения_и_данные!$C$9)/1000000</f>
        <v>1.69046918</v>
      </c>
      <c r="D8" s="35" t="n">
        <f aca="false">(Допущения_и_данные!$E$17*Допущения_и_данные!$B$9+Допущения_и_данные!$F$17*Допущения_и_данные!$C$9)/1000000</f>
        <v>4.3996763</v>
      </c>
      <c r="E8" s="36" t="n">
        <f aca="false">B8/Допущения_и_данные!$C$15</f>
        <v>0.318865007142857</v>
      </c>
      <c r="F8" s="36" t="n">
        <f aca="false">C8/Допущения_и_данные!$C$16</f>
        <v>0.179837146808511</v>
      </c>
      <c r="G8" s="36" t="n">
        <f aca="false">D8/Допущения_и_данные!$C$17</f>
        <v>0.148137249158249</v>
      </c>
      <c r="H8" s="37" t="n">
        <f aca="false">((Допущения_и_данные!$E$18/Допущения_и_данные!$C$18)*Допущения_и_данные!$B$9+(Допущения_и_данные!$F$18/Допущения_и_данные!$C$18)*Допущения_и_данные!$C$9)/1000000</f>
        <v>0.16139645654321</v>
      </c>
    </row>
    <row r="9" customFormat="false" ht="15" hidden="false" customHeight="false" outlineLevel="0" collapsed="false">
      <c r="A9" s="6" t="s">
        <v>16</v>
      </c>
      <c r="B9" s="35" t="n">
        <f aca="false">(Допущения_и_данные!$E$15*Допущения_и_данные!$B$10+Допущения_и_данные!$F$15*Допущения_и_данные!$C$10)/1000000</f>
        <v>0.30305721</v>
      </c>
      <c r="C9" s="35" t="n">
        <f aca="false">(Допущения_и_данные!$E$16*Допущения_и_данные!$B$10+Допущения_и_данные!$F$16*Допущения_и_данные!$C$10)/1000000</f>
        <v>1.143156</v>
      </c>
      <c r="D9" s="35" t="n">
        <f aca="false">(Допущения_и_данные!$E$17*Допущения_и_данные!$B$10+Допущения_и_данные!$F$17*Допущения_и_данные!$C$10)/1000000</f>
        <v>3.11688462</v>
      </c>
      <c r="E9" s="36" t="n">
        <f aca="false">B9/Допущения_и_данные!$C$15</f>
        <v>0.216469435714286</v>
      </c>
      <c r="F9" s="36" t="n">
        <f aca="false">C9/Допущения_и_данные!$C$16</f>
        <v>0.121612340425532</v>
      </c>
      <c r="G9" s="36" t="n">
        <f aca="false">D9/Допущения_и_данные!$C$17</f>
        <v>0.10494561010101</v>
      </c>
      <c r="H9" s="37" t="n">
        <f aca="false">((Допущения_и_данные!$E$18/Допущения_и_данные!$C$18)*Допущения_и_данные!$B$10+(Допущения_и_данные!$F$18/Допущения_и_данные!$C$18)*Допущения_и_данные!$C$10)/1000000</f>
        <v>0.112669082222222</v>
      </c>
    </row>
    <row r="13" customFormat="false" ht="15" hidden="false" customHeight="false" outlineLevel="0" collapsed="false">
      <c r="A13" s="3" t="s">
        <v>107</v>
      </c>
      <c r="B13" s="3"/>
      <c r="C13" s="3"/>
      <c r="D13" s="3"/>
      <c r="E13" s="3"/>
      <c r="F13" s="3"/>
      <c r="G13" s="3"/>
      <c r="H13" s="3"/>
      <c r="I13" s="3"/>
    </row>
    <row r="14" customFormat="false" ht="31.5" hidden="false" customHeight="true" outlineLevel="0" collapsed="false">
      <c r="A14" s="4" t="s">
        <v>4</v>
      </c>
      <c r="B14" s="4" t="s">
        <v>100</v>
      </c>
      <c r="C14" s="4" t="s">
        <v>101</v>
      </c>
      <c r="D14" s="4" t="s">
        <v>102</v>
      </c>
      <c r="E14" s="4" t="s">
        <v>103</v>
      </c>
      <c r="F14" s="4" t="s">
        <v>104</v>
      </c>
      <c r="G14" s="4" t="s">
        <v>105</v>
      </c>
      <c r="H14" s="4" t="s">
        <v>106</v>
      </c>
    </row>
    <row r="15" customFormat="false" ht="15" hidden="false" customHeight="false" outlineLevel="0" collapsed="false">
      <c r="A15" s="6" t="s">
        <v>10</v>
      </c>
      <c r="B15" s="35" t="n">
        <f aca="false">(Допущения_и_данные!$E$15*(1-Допущения_и_данные!$B$29)*Допущения_и_данные!$B$7+Допущения_и_данные!$E$15*Допущения_и_данные!$B$29*Допущения_и_данные!$D$7+Допущения_и_данные!$F$15*Допущения_и_данные!$C$7)/1000000</f>
        <v>0.0894135156</v>
      </c>
      <c r="C15" s="35" t="n">
        <f aca="false">(Допущения_и_данные!$E$16*(1-Допущения_и_данные!$B$29)*Допущения_и_данные!$B$7+Допущения_и_данные!$E$16*Допущения_и_данные!$B$29*Допущения_и_данные!$D$7+Допущения_и_данные!$F$16*Допущения_и_данные!$C$7)/1000000</f>
        <v>0.3399147666</v>
      </c>
      <c r="D15" s="35" t="n">
        <f aca="false">(Допущения_и_данные!$E$17*(1-Допущения_и_данные!$B$29)*Допущения_и_данные!$B$7+Допущения_и_данные!$E$17*Допущения_и_данные!$B$29*Допущения_и_данные!$D$7+Допущения_и_данные!$F$17*Допущения_и_данные!$C$7)/1000000</f>
        <v>0.8426395728</v>
      </c>
      <c r="E15" s="36" t="n">
        <f aca="false">B15/Допущения_и_данные!$C$15</f>
        <v>0.0638667968571429</v>
      </c>
      <c r="F15" s="36" t="n">
        <f aca="false">C15/Допущения_и_данные!$C$16</f>
        <v>0.0361611453829787</v>
      </c>
      <c r="G15" s="36" t="n">
        <f aca="false">D15/Допущения_и_данные!$C$17</f>
        <v>0.0283717027878788</v>
      </c>
      <c r="H15" s="37" t="n">
        <f aca="false">((Допущения_и_данные!$E$18/Допущения_и_данные!$C$18)*(1-Допущения_и_данные!$B$29)*Допущения_и_данные!$B$7+(Допущения_и_данные!$E$18/Допущения_и_данные!$C$18)*Допущения_и_данные!$B$29*Допущения_и_данные!$D$7+(Допущения_и_данные!$F$18/Допущения_и_данные!$C$18)*Допущения_и_данные!$C$7)/1000000</f>
        <v>0.0314066137037037</v>
      </c>
    </row>
    <row r="16" customFormat="false" ht="15" hidden="false" customHeight="false" outlineLevel="0" collapsed="false">
      <c r="A16" s="6" t="s">
        <v>13</v>
      </c>
      <c r="B16" s="35" t="n">
        <f aca="false">(Допущения_и_данные!$E$15*(1-Допущения_и_данные!$B$29)*Допущения_и_данные!$B$8+Допущения_и_данные!$E$15*Допущения_и_данные!$B$29*Допущения_и_данные!$D$8+Допущения_и_данные!$F$15*Допущения_и_данные!$C$8)/1000000</f>
        <v>0.171486312</v>
      </c>
      <c r="C16" s="35" t="n">
        <f aca="false">(Допущения_и_данные!$E$16*(1-Допущения_и_данные!$B$29)*Допущения_и_данные!$B$8+Допущения_и_данные!$E$16*Допущения_и_данные!$B$29*Допущения_и_данные!$D$8+Допущения_и_данные!$F$16*Допущения_и_данные!$C$8)/1000000</f>
        <v>0.630568307</v>
      </c>
      <c r="D16" s="35" t="n">
        <f aca="false">(Допущения_и_данные!$E$17*(1-Допущения_и_данные!$B$29)*Допущения_и_данные!$B$8+Допущения_и_данные!$E$17*Допущения_и_данные!$B$29*Допущения_и_данные!$D$8+Допущения_и_данные!$F$17*Допущения_и_данные!$C$8)/1000000</f>
        <v>2.238667556</v>
      </c>
      <c r="E16" s="36" t="n">
        <f aca="false">B16/Допущения_и_данные!$C$15</f>
        <v>0.122490222857143</v>
      </c>
      <c r="F16" s="36" t="n">
        <f aca="false">C16/Допущения_и_данные!$C$16</f>
        <v>0.0670817347872341</v>
      </c>
      <c r="G16" s="36" t="n">
        <f aca="false">D16/Допущения_и_данные!$C$17</f>
        <v>0.075376011986532</v>
      </c>
      <c r="H16" s="37" t="n">
        <f aca="false">((Допущения_и_данные!$E$18/Допущения_и_данные!$C$18)*(1-Допущения_и_данные!$B$29)*Допущения_и_данные!$B$8+(Допущения_и_данные!$E$18/Допущения_и_данные!$C$18)*Допущения_и_данные!$B$29*Допущения_и_данные!$D$8+(Допущения_и_данные!$F$18/Допущения_и_данные!$C$18)*Допущения_и_данные!$C$8)/1000000</f>
        <v>0.0750795598765432</v>
      </c>
    </row>
    <row r="17" customFormat="false" ht="15" hidden="false" customHeight="false" outlineLevel="0" collapsed="false">
      <c r="A17" s="6" t="s">
        <v>15</v>
      </c>
      <c r="B17" s="35" t="n">
        <f aca="false">(Допущения_и_данные!$E$15*(1-Допущения_и_данные!$B$29)*Допущения_и_данные!$B$9+Допущения_и_данные!$E$15*Допущения_и_данные!$B$29*Допущения_и_данные!$D$9+Допущения_и_данные!$F$15*Допущения_и_данные!$C$9)/1000000</f>
        <v>0.3613800924</v>
      </c>
      <c r="C17" s="35" t="n">
        <f aca="false">(Допущения_и_данные!$E$16*(1-Допущения_и_данные!$B$29)*Допущения_и_данные!$B$9+Допущения_и_данные!$E$16*Допущения_и_данные!$B$29*Допущения_и_данные!$D$9+Допущения_и_данные!$F$16*Допущения_и_данные!$C$9)/1000000</f>
        <v>1.3909068764</v>
      </c>
      <c r="D17" s="35" t="n">
        <f aca="false">(Допущения_и_данные!$E$17*(1-Допущения_и_данные!$B$29)*Допущения_и_данные!$B$9+Допущения_и_данные!$E$17*Допущения_и_данные!$B$29*Допущения_и_данные!$D$9+Допущения_и_данные!$F$17*Допущения_и_данные!$C$9)/1000000</f>
        <v>2.9076433112</v>
      </c>
      <c r="E17" s="36" t="n">
        <f aca="false">B17/Допущения_и_данные!$C$15</f>
        <v>0.258128637428571</v>
      </c>
      <c r="F17" s="36" t="n">
        <f aca="false">C17/Допущения_и_данные!$C$16</f>
        <v>0.147968816638298</v>
      </c>
      <c r="G17" s="36" t="n">
        <f aca="false">D17/Допущения_и_данные!$C$17</f>
        <v>0.0979004481885522</v>
      </c>
      <c r="H17" s="37" t="n">
        <f aca="false">((Допущения_и_данные!$E$18/Допущения_и_данные!$C$18)*(1-Допущения_и_данные!$B$29)*Допущения_и_данные!$B$9+(Допущения_и_данные!$E$18/Допущения_и_данные!$C$18)*Допущения_и_данные!$B$29*Допущения_и_данные!$D$9+(Допущения_и_данные!$F$18/Допущения_и_данные!$C$18)*Допущения_и_данные!$C$9)/1000000</f>
        <v>0.11506000691358</v>
      </c>
    </row>
    <row r="18" customFormat="false" ht="15" hidden="false" customHeight="false" outlineLevel="0" collapsed="false">
      <c r="A18" s="6" t="s">
        <v>16</v>
      </c>
      <c r="B18" s="35" t="n">
        <f aca="false">(Допущения_и_данные!$E$15*(1-Допущения_и_данные!$B$29)*Допущения_и_данные!$B$10+Допущения_и_данные!$E$15*Допущения_и_данные!$B$29*Допущения_и_данные!$D$10+Допущения_и_данные!$F$15*Допущения_и_данные!$C$10)/1000000</f>
        <v>0.2420345598</v>
      </c>
      <c r="C18" s="35" t="n">
        <f aca="false">(Допущения_и_данные!$E$16*(1-Допущения_и_данные!$B$29)*Допущения_и_данные!$B$10+Допущения_и_данные!$E$16*Допущения_и_данные!$B$29*Допущения_и_данные!$D$10+Допущения_и_данные!$F$16*Допущения_и_данные!$C$10)/1000000</f>
        <v>0.9281743653</v>
      </c>
      <c r="D18" s="35" t="n">
        <f aca="false">(Допущения_и_данные!$E$17*(1-Допущения_и_данные!$B$29)*Допущения_и_данные!$B$10+Допущения_и_данные!$E$17*Допущения_и_данные!$B$29*Допущения_и_данные!$D$10+Допущения_и_данные!$F$17*Допущения_и_данные!$C$10)/1000000</f>
        <v>2.0461234224</v>
      </c>
      <c r="E18" s="36" t="n">
        <f aca="false">B18/Допущения_и_данные!$C$15</f>
        <v>0.172881828428571</v>
      </c>
      <c r="F18" s="36" t="n">
        <f aca="false">C18/Допущения_и_данные!$C$16</f>
        <v>0.0987419537553192</v>
      </c>
      <c r="G18" s="36" t="n">
        <f aca="false">D18/Допущения_и_данные!$C$17</f>
        <v>0.0688930445252525</v>
      </c>
      <c r="H18" s="37" t="n">
        <f aca="false">((Допущения_и_данные!$E$18/Допущения_и_данные!$C$18)*(1-Допущения_и_данные!$B$29)*Допущения_и_данные!$B$10+(Допущения_и_данные!$E$18/Допущения_и_данные!$C$18)*Допущения_и_данные!$B$29*Допущения_и_данные!$D$10+(Допущения_и_данные!$F$18/Допущения_и_данные!$C$18)*Допущения_и_данные!$C$10)/1000000</f>
        <v>0.0794156135185185</v>
      </c>
    </row>
    <row r="22" customFormat="false" ht="15" hidden="false" customHeight="false" outlineLevel="0" collapsed="false">
      <c r="A22" s="3" t="s">
        <v>108</v>
      </c>
      <c r="B22" s="3"/>
      <c r="C22" s="3"/>
      <c r="D22" s="3"/>
      <c r="E22" s="3"/>
      <c r="F22" s="3"/>
      <c r="G22" s="3"/>
      <c r="H22" s="3"/>
      <c r="I22" s="3"/>
    </row>
    <row r="23" customFormat="false" ht="30" hidden="false" customHeight="true" outlineLevel="0" collapsed="false">
      <c r="A23" s="4" t="s">
        <v>4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113</v>
      </c>
      <c r="G23" s="4" t="s">
        <v>114</v>
      </c>
    </row>
    <row r="24" customFormat="false" ht="15" hidden="false" customHeight="false" outlineLevel="0" collapsed="false">
      <c r="A24" s="6" t="s">
        <v>10</v>
      </c>
      <c r="B24" s="36" t="n">
        <f aca="false">H6</f>
        <v>0.045667277037037</v>
      </c>
      <c r="C24" s="36" t="n">
        <f aca="false">H15</f>
        <v>0.0314066137037037</v>
      </c>
      <c r="D24" s="36" t="n">
        <f aca="false">B24-C24</f>
        <v>0.0142606633333333</v>
      </c>
      <c r="E24" s="38" t="n">
        <f aca="false">1-C24/B24</f>
        <v>0.312273125497885</v>
      </c>
      <c r="F24" s="9" t="n">
        <f aca="false">(Допущения_и_данные!$E$18/Допущения_и_данные!$C$18)*Допущения_и_данные!$B$7/1000000/B24</f>
        <v>0.806907301028126</v>
      </c>
      <c r="G24" s="14" t="n">
        <f aca="false">RANK(C24,$C$24:$C$27,1)</f>
        <v>1</v>
      </c>
    </row>
    <row r="25" customFormat="false" ht="15" hidden="false" customHeight="false" outlineLevel="0" collapsed="false">
      <c r="A25" s="6" t="s">
        <v>13</v>
      </c>
      <c r="B25" s="36" t="n">
        <f aca="false">H7</f>
        <v>0.0830021506172839</v>
      </c>
      <c r="C25" s="36" t="n">
        <f aca="false">H16</f>
        <v>0.0750795598765432</v>
      </c>
      <c r="D25" s="36" t="n">
        <f aca="false">B25-C25</f>
        <v>0.00792259074074074</v>
      </c>
      <c r="E25" s="38" t="n">
        <f aca="false">1-C25/B25</f>
        <v>0.0954504272699047</v>
      </c>
      <c r="F25" s="9" t="n">
        <f aca="false">(Допущения_и_данные!$E$18/Допущения_и_данные!$C$18)*Допущения_и_данные!$B$8/1000000/B25</f>
        <v>0.887311011515959</v>
      </c>
      <c r="G25" s="14" t="n">
        <f aca="false">RANK(C25,$C$24:$C$27,1)</f>
        <v>2</v>
      </c>
    </row>
    <row r="26" customFormat="false" ht="15" hidden="false" customHeight="false" outlineLevel="0" collapsed="false">
      <c r="A26" s="6" t="s">
        <v>15</v>
      </c>
      <c r="B26" s="36" t="n">
        <f aca="false">H8</f>
        <v>0.16139645654321</v>
      </c>
      <c r="C26" s="36" t="n">
        <f aca="false">H17</f>
        <v>0.11506000691358</v>
      </c>
      <c r="D26" s="36" t="n">
        <f aca="false">B26-C26</f>
        <v>0.0463364496296296</v>
      </c>
      <c r="E26" s="38" t="n">
        <f aca="false">1-C26/B26</f>
        <v>0.28709706905631</v>
      </c>
      <c r="F26" s="9" t="n">
        <f aca="false">(Допущения_и_данные!$E$18/Допущения_и_данные!$C$18)*Допущения_и_данные!$B$9/1000000/B26</f>
        <v>0.741715765390716</v>
      </c>
      <c r="G26" s="14" t="n">
        <f aca="false">RANK(C26,$C$24:$C$27,1)</f>
        <v>4</v>
      </c>
    </row>
    <row r="27" customFormat="false" ht="15" hidden="false" customHeight="false" outlineLevel="0" collapsed="false">
      <c r="A27" s="6" t="s">
        <v>16</v>
      </c>
      <c r="B27" s="36" t="n">
        <f aca="false">H9</f>
        <v>0.112669082222222</v>
      </c>
      <c r="C27" s="36" t="n">
        <f aca="false">H18</f>
        <v>0.0794156135185185</v>
      </c>
      <c r="D27" s="36" t="n">
        <f aca="false">B27-C27</f>
        <v>0.0332534687037037</v>
      </c>
      <c r="E27" s="38" t="n">
        <f aca="false">1-C27/B27</f>
        <v>0.295142802691127</v>
      </c>
      <c r="F27" s="9" t="n">
        <f aca="false">(Допущения_и_данные!$E$18/Допущения_и_данные!$C$18)*Допущения_и_данные!$B$10/1000000/B27</f>
        <v>0.762839331893088</v>
      </c>
      <c r="G27" s="14" t="n">
        <f aca="false">RANK(C27,$C$24:$C$27,1)</f>
        <v>3</v>
      </c>
    </row>
    <row r="29" customFormat="false" ht="15" hidden="false" customHeight="false" outlineLevel="0" collapsed="false">
      <c r="A29" s="10" t="s">
        <v>115</v>
      </c>
      <c r="B29" s="39" t="n">
        <f aca="false">MIN(H15:H18)</f>
        <v>0.0314066137037037</v>
      </c>
    </row>
    <row r="30" customFormat="false" ht="15" hidden="false" customHeight="false" outlineLevel="0" collapsed="false">
      <c r="A30" s="10" t="s">
        <v>116</v>
      </c>
      <c r="B30" s="40" t="n">
        <f aca="false">MAX(H6:H9)</f>
        <v>0.16139645654321</v>
      </c>
    </row>
    <row r="31" customFormat="false" ht="15" hidden="false" customHeight="false" outlineLevel="0" collapsed="false">
      <c r="A31" s="10" t="s">
        <v>117</v>
      </c>
      <c r="B31" s="41" t="n">
        <f aca="false">B30/B29</f>
        <v>5.1389321391302</v>
      </c>
    </row>
    <row r="33" customFormat="false" ht="36" hidden="false" customHeight="true" outlineLevel="0" collapsed="false">
      <c r="A33" s="34" t="s">
        <v>118</v>
      </c>
      <c r="B33" s="34"/>
      <c r="C33" s="34"/>
      <c r="D33" s="34"/>
      <c r="E33" s="34"/>
      <c r="F33" s="34"/>
      <c r="G33" s="34"/>
      <c r="H33" s="34"/>
      <c r="I33" s="34"/>
    </row>
    <row r="34" customFormat="false" ht="51" hidden="false" customHeight="true" outlineLevel="0" collapsed="false">
      <c r="A34" s="34" t="s">
        <v>119</v>
      </c>
      <c r="B34" s="34"/>
      <c r="C34" s="34"/>
      <c r="D34" s="34"/>
      <c r="E34" s="34"/>
      <c r="F34" s="34"/>
      <c r="G34" s="34"/>
      <c r="H34" s="34"/>
      <c r="I34" s="34"/>
    </row>
    <row r="35" customFormat="false" ht="66" hidden="false" customHeight="true" outlineLevel="0" collapsed="false">
      <c r="A35" s="34" t="s">
        <v>120</v>
      </c>
      <c r="B35" s="34"/>
      <c r="C35" s="34"/>
      <c r="D35" s="34"/>
      <c r="E35" s="34"/>
      <c r="F35" s="34"/>
      <c r="G35" s="34"/>
      <c r="H35" s="34"/>
      <c r="I35" s="34"/>
    </row>
    <row r="36" customFormat="false" ht="51" hidden="false" customHeight="true" outlineLevel="0" collapsed="false">
      <c r="A36" s="34" t="s">
        <v>121</v>
      </c>
      <c r="B36" s="34"/>
      <c r="C36" s="34"/>
      <c r="D36" s="34"/>
      <c r="E36" s="34"/>
      <c r="F36" s="34"/>
      <c r="G36" s="34"/>
      <c r="H36" s="34"/>
      <c r="I36" s="34"/>
    </row>
  </sheetData>
  <mergeCells count="4">
    <mergeCell ref="A33:I33"/>
    <mergeCell ref="A34:I34"/>
    <mergeCell ref="A35:I35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9"/>
    <col collapsed="false" customWidth="true" hidden="false" outlineLevel="0" max="7" min="7" style="0" width="68"/>
  </cols>
  <sheetData>
    <row r="1" customFormat="false" ht="16.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3.75" hidden="false" customHeight="true" outlineLevel="0" collapsed="false">
      <c r="A4" s="4" t="s">
        <v>124</v>
      </c>
      <c r="B4" s="4" t="s">
        <v>125</v>
      </c>
      <c r="C4" s="4" t="s">
        <v>126</v>
      </c>
      <c r="D4" s="4" t="s">
        <v>127</v>
      </c>
      <c r="E4" s="4" t="s">
        <v>128</v>
      </c>
      <c r="F4" s="4" t="s">
        <v>129</v>
      </c>
    </row>
    <row r="5" customFormat="false" ht="39.75" hidden="false" customHeight="true" outlineLevel="0" collapsed="false">
      <c r="A5" s="42" t="s">
        <v>130</v>
      </c>
      <c r="B5" s="43" t="n">
        <f aca="false">Себестоимость!H15</f>
        <v>0.0314066137037037</v>
      </c>
      <c r="C5" s="44" t="n">
        <f aca="false">Допущения_и_данные!$B$32/B5</f>
        <v>955212.818644698</v>
      </c>
      <c r="D5" s="45" t="n">
        <f aca="false">C5/Допущения_и_данные!$B$43</f>
        <v>43418.7644838499</v>
      </c>
      <c r="E5" s="46" t="n">
        <f aca="false">C5/Мощность!$B$14</f>
        <v>1.26390476254548</v>
      </c>
      <c r="F5" s="45" t="n">
        <f aca="false">C5/(100*Допущения_и_данные!$B$43)</f>
        <v>434.187644838499</v>
      </c>
      <c r="G5" s="2" t="s">
        <v>131</v>
      </c>
    </row>
    <row r="6" customFormat="false" ht="15" hidden="false" customHeight="false" outlineLevel="0" collapsed="false">
      <c r="A6" s="6" t="s">
        <v>132</v>
      </c>
      <c r="B6" s="36" t="n">
        <f aca="false">Себестоимость!H6</f>
        <v>0.045667277037037</v>
      </c>
      <c r="C6" s="14" t="n">
        <f aca="false">Допущения_и_данные!$B$32/B6</f>
        <v>656925.526250874</v>
      </c>
      <c r="D6" s="47" t="n">
        <f aca="false">C6/Допущения_и_данные!$B$43</f>
        <v>29860.2511932215</v>
      </c>
      <c r="E6" s="9" t="n">
        <f aca="false">C6/Мощность!$B$14</f>
        <v>0.869221272013738</v>
      </c>
      <c r="F6" s="47" t="n">
        <f aca="false">C6/(100*Допущения_и_данные!$B$43)</f>
        <v>298.602511932215</v>
      </c>
    </row>
    <row r="7" customFormat="false" ht="15" hidden="false" customHeight="false" outlineLevel="0" collapsed="false">
      <c r="A7" s="6" t="s">
        <v>133</v>
      </c>
      <c r="B7" s="36" t="n">
        <f aca="false">Себестоимость!H16</f>
        <v>0.0750795598765432</v>
      </c>
      <c r="C7" s="14" t="n">
        <f aca="false">Допущения_и_данные!$B$32/B7</f>
        <v>399576.130298718</v>
      </c>
      <c r="D7" s="47" t="n">
        <f aca="false">C7/Допущения_и_данные!$B$43</f>
        <v>18162.5513772144</v>
      </c>
      <c r="E7" s="9" t="n">
        <f aca="false">C7/Мощность!$B$14</f>
        <v>0.52870539865723</v>
      </c>
      <c r="F7" s="47" t="n">
        <f aca="false">C7/(100*Допущения_и_данные!$B$43)</f>
        <v>181.625513772144</v>
      </c>
    </row>
    <row r="8" customFormat="false" ht="15" hidden="false" customHeight="false" outlineLevel="0" collapsed="false">
      <c r="A8" s="6" t="s">
        <v>134</v>
      </c>
      <c r="B8" s="36" t="n">
        <f aca="false">Себестоимость!H7</f>
        <v>0.0830021506172839</v>
      </c>
      <c r="C8" s="14" t="n">
        <f aca="false">Допущения_и_данные!$B$32/B8</f>
        <v>361436.41793485</v>
      </c>
      <c r="D8" s="47" t="n">
        <f aca="false">C8/Допущения_и_данные!$B$43</f>
        <v>16428.9280879477</v>
      </c>
      <c r="E8" s="9" t="n">
        <f aca="false">C8/Мощность!$B$14</f>
        <v>0.478240242455492</v>
      </c>
      <c r="F8" s="47" t="n">
        <f aca="false">C8/(100*Допущения_и_данные!$B$43)</f>
        <v>164.289280879477</v>
      </c>
    </row>
    <row r="9" customFormat="false" ht="15" hidden="false" customHeight="false" outlineLevel="0" collapsed="false">
      <c r="A9" s="6" t="s">
        <v>135</v>
      </c>
      <c r="B9" s="36" t="n">
        <f aca="false">Себестоимость!H18</f>
        <v>0.0794156135185185</v>
      </c>
      <c r="C9" s="14" t="n">
        <f aca="false">Допущения_и_данные!$B$32/B9</f>
        <v>377759.469087328</v>
      </c>
      <c r="D9" s="47" t="n">
        <f aca="false">C9/Допущения_и_данные!$B$43</f>
        <v>17170.8849585149</v>
      </c>
      <c r="E9" s="9" t="n">
        <f aca="false">C9/Мощность!$B$14</f>
        <v>0.499838342573288</v>
      </c>
      <c r="F9" s="47" t="n">
        <f aca="false">C9/(100*Допущения_и_данные!$B$43)</f>
        <v>171.708849585149</v>
      </c>
    </row>
    <row r="10" customFormat="false" ht="15" hidden="false" customHeight="false" outlineLevel="0" collapsed="false">
      <c r="A10" s="6" t="s">
        <v>136</v>
      </c>
      <c r="B10" s="36" t="n">
        <f aca="false">Себестоимость!H9</f>
        <v>0.112669082222222</v>
      </c>
      <c r="C10" s="14" t="n">
        <f aca="false">Допущения_и_данные!$B$32/B10</f>
        <v>266266.480637782</v>
      </c>
      <c r="D10" s="47" t="n">
        <f aca="false">C10/Допущения_и_данные!$B$43</f>
        <v>12103.0218471719</v>
      </c>
      <c r="E10" s="9" t="n">
        <f aca="false">C10/Мощность!$B$14</f>
        <v>0.35231465325372</v>
      </c>
      <c r="F10" s="47" t="n">
        <f aca="false">C10/(100*Допущения_и_данные!$B$43)</f>
        <v>121.030218471719</v>
      </c>
    </row>
    <row r="11" customFormat="false" ht="15" hidden="false" customHeight="false" outlineLevel="0" collapsed="false">
      <c r="A11" s="6" t="s">
        <v>137</v>
      </c>
      <c r="B11" s="36" t="n">
        <f aca="false">Себестоимость!H17</f>
        <v>0.11506000691358</v>
      </c>
      <c r="C11" s="14" t="n">
        <f aca="false">Допущения_и_данные!$B$32/B11</f>
        <v>260733.514665374</v>
      </c>
      <c r="D11" s="47" t="n">
        <f aca="false">C11/Допущения_и_данные!$B$43</f>
        <v>11851.5233938806</v>
      </c>
      <c r="E11" s="9" t="n">
        <f aca="false">C11/Мощность!$B$14</f>
        <v>0.344993622895846</v>
      </c>
      <c r="F11" s="47" t="n">
        <f aca="false">C11/(100*Допущения_и_данные!$B$43)</f>
        <v>118.515233938806</v>
      </c>
    </row>
    <row r="12" customFormat="false" ht="31.5" hidden="false" customHeight="true" outlineLevel="0" collapsed="false">
      <c r="A12" s="48" t="s">
        <v>138</v>
      </c>
      <c r="B12" s="49" t="n">
        <f aca="false">Себестоимость!H8</f>
        <v>0.16139645654321</v>
      </c>
      <c r="C12" s="50" t="n">
        <f aca="false">Допущения_и_данные!$B$32/B12</f>
        <v>185877.686800195</v>
      </c>
      <c r="D12" s="51" t="n">
        <f aca="false">C12/Допущения_и_данные!$B$43</f>
        <v>8448.98576364521</v>
      </c>
      <c r="E12" s="52" t="n">
        <f aca="false">C12/Мощность!$B$14</f>
        <v>0.245946964919331</v>
      </c>
      <c r="F12" s="51" t="n">
        <f aca="false">C12/(100*Допущения_и_данные!$B$43)</f>
        <v>84.4898576364521</v>
      </c>
      <c r="G12" s="2" t="s">
        <v>139</v>
      </c>
    </row>
    <row r="15" customFormat="false" ht="51" hidden="false" customHeight="true" outlineLevel="0" collapsed="false">
      <c r="A15" s="34" t="s">
        <v>140</v>
      </c>
      <c r="B15" s="34"/>
      <c r="C15" s="34"/>
      <c r="D15" s="34"/>
      <c r="E15" s="34"/>
      <c r="F15" s="34"/>
      <c r="G15" s="34"/>
    </row>
    <row r="16" customFormat="false" ht="51" hidden="false" customHeight="true" outlineLevel="0" collapsed="false">
      <c r="A16" s="34" t="s">
        <v>141</v>
      </c>
      <c r="B16" s="34"/>
      <c r="C16" s="34"/>
      <c r="D16" s="34"/>
      <c r="E16" s="34"/>
      <c r="F16" s="34"/>
      <c r="G16" s="34"/>
    </row>
    <row r="17" customFormat="false" ht="36" hidden="false" customHeight="true" outlineLevel="0" collapsed="false">
      <c r="A17" s="34" t="s">
        <v>142</v>
      </c>
      <c r="B17" s="34"/>
      <c r="C17" s="34"/>
      <c r="D17" s="34"/>
      <c r="E17" s="34"/>
      <c r="F17" s="34"/>
      <c r="G17" s="34"/>
    </row>
  </sheetData>
  <mergeCells count="3"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7"/>
    <col collapsed="false" customWidth="true" hidden="false" outlineLevel="0" max="6" min="6" style="0" width="70"/>
  </cols>
  <sheetData>
    <row r="1" customFormat="false" ht="16.15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3.75" hidden="false" customHeight="true" outlineLevel="0" collapsed="false">
      <c r="A4" s="4" t="s">
        <v>145</v>
      </c>
      <c r="B4" s="4" t="s">
        <v>146</v>
      </c>
      <c r="C4" s="4" t="s">
        <v>147</v>
      </c>
      <c r="D4" s="4" t="s">
        <v>148</v>
      </c>
      <c r="E4" s="4" t="s">
        <v>149</v>
      </c>
    </row>
    <row r="5" customFormat="false" ht="15" hidden="false" customHeight="false" outlineLevel="0" collapsed="false">
      <c r="A5" s="6" t="s">
        <v>150</v>
      </c>
      <c r="B5" s="11" t="n">
        <v>5</v>
      </c>
      <c r="C5" s="11" t="n">
        <v>100</v>
      </c>
      <c r="D5" s="11" t="n">
        <v>1000</v>
      </c>
      <c r="E5" s="53" t="n">
        <f aca="false">D5/B5</f>
        <v>200</v>
      </c>
    </row>
    <row r="6" customFormat="false" ht="15" hidden="false" customHeight="false" outlineLevel="0" collapsed="false">
      <c r="A6" s="6" t="s">
        <v>151</v>
      </c>
      <c r="B6" s="47" t="n">
        <f aca="false">B5*Допущения_и_данные!$B$43</f>
        <v>110</v>
      </c>
      <c r="C6" s="47" t="n">
        <f aca="false">C5*Допущения_и_данные!$B$43</f>
        <v>2200</v>
      </c>
      <c r="D6" s="47" t="n">
        <f aca="false">D5*Допущения_и_данные!$B$43</f>
        <v>22000</v>
      </c>
      <c r="E6" s="54" t="n">
        <f aca="false">IFERROR(D6/B6,0)</f>
        <v>200</v>
      </c>
    </row>
    <row r="7" customFormat="false" ht="15" hidden="false" customHeight="false" outlineLevel="0" collapsed="false">
      <c r="A7" s="6" t="s">
        <v>152</v>
      </c>
      <c r="B7" s="55" t="n">
        <f aca="false">B5/Допущения_и_данные!$B$44</f>
        <v>0.625</v>
      </c>
      <c r="C7" s="55" t="n">
        <f aca="false">C5/Допущения_и_данные!$B$44</f>
        <v>12.5</v>
      </c>
      <c r="D7" s="55" t="n">
        <f aca="false">D5/Допущения_и_данные!$B$44</f>
        <v>125</v>
      </c>
      <c r="E7" s="54" t="n">
        <f aca="false">IFERROR(D7/B7,0)</f>
        <v>200</v>
      </c>
    </row>
    <row r="8" customFormat="false" ht="15" hidden="false" customHeight="false" outlineLevel="0" collapsed="false">
      <c r="A8" s="6" t="s">
        <v>153</v>
      </c>
      <c r="B8" s="47" t="n">
        <f aca="false">B6/Допущения_и_данные!$B$26</f>
        <v>8.14814814814815</v>
      </c>
      <c r="C8" s="47" t="n">
        <f aca="false">C6/Допущения_и_данные!$B$26</f>
        <v>162.962962962963</v>
      </c>
      <c r="D8" s="47" t="n">
        <f aca="false">D6/Допущения_и_данные!$B$26</f>
        <v>1629.62962962963</v>
      </c>
      <c r="E8" s="54" t="n">
        <f aca="false">IFERROR(D8/B8,0)</f>
        <v>200</v>
      </c>
      <c r="F8" s="2" t="s">
        <v>154</v>
      </c>
    </row>
    <row r="9" customFormat="false" ht="15" hidden="false" customHeight="false" outlineLevel="0" collapsed="false">
      <c r="A9" s="6" t="s">
        <v>155</v>
      </c>
      <c r="B9" s="47" t="n">
        <f aca="false">B6*Допущения_и_данные!$B$24</f>
        <v>198.271604938272</v>
      </c>
      <c r="C9" s="47" t="n">
        <f aca="false">C6*Допущения_и_данные!$B$24</f>
        <v>3965.43209876543</v>
      </c>
      <c r="D9" s="47" t="n">
        <f aca="false">D6*Допущения_и_данные!$B$24</f>
        <v>39654.3209876543</v>
      </c>
      <c r="E9" s="54" t="n">
        <f aca="false">IFERROR(D9/B9,0)</f>
        <v>200</v>
      </c>
    </row>
    <row r="10" customFormat="false" ht="15" hidden="false" customHeight="false" outlineLevel="0" collapsed="false">
      <c r="A10" s="6" t="s">
        <v>156</v>
      </c>
      <c r="B10" s="47" t="n">
        <f aca="false">B6*Допущения_и_данные!$B$25</f>
        <v>2031.60493827161</v>
      </c>
      <c r="C10" s="47" t="n">
        <f aca="false">C6*Допущения_и_данные!$B$25</f>
        <v>40632.0987654321</v>
      </c>
      <c r="D10" s="47" t="n">
        <f aca="false">D6*Допущения_и_данные!$B$25</f>
        <v>406320.987654321</v>
      </c>
      <c r="E10" s="54" t="n">
        <f aca="false">IFERROR(D10/B10,0)</f>
        <v>200</v>
      </c>
      <c r="F10" s="2" t="s">
        <v>157</v>
      </c>
    </row>
    <row r="11" customFormat="false" ht="15" hidden="false" customHeight="false" outlineLevel="0" collapsed="false">
      <c r="A11" s="6" t="s">
        <v>158</v>
      </c>
      <c r="B11" s="56" t="n">
        <f aca="false">B6*Себестоимость!$B$29</f>
        <v>3.45472750740741</v>
      </c>
      <c r="C11" s="56" t="n">
        <f aca="false">C6*Себестоимость!$B$29</f>
        <v>69.0945501481482</v>
      </c>
      <c r="D11" s="56" t="n">
        <f aca="false">D6*Себестоимость!$B$29</f>
        <v>690.945501481482</v>
      </c>
      <c r="E11" s="54" t="n">
        <f aca="false">IFERROR(D11/B11,0)</f>
        <v>200</v>
      </c>
      <c r="F11" s="2" t="s">
        <v>159</v>
      </c>
    </row>
    <row r="12" customFormat="false" ht="15" hidden="false" customHeight="false" outlineLevel="0" collapsed="false">
      <c r="A12" s="6" t="s">
        <v>160</v>
      </c>
      <c r="B12" s="56" t="n">
        <f aca="false">B6*Себестоимость!$B$30</f>
        <v>17.7536102197531</v>
      </c>
      <c r="C12" s="56" t="n">
        <f aca="false">C6*Себестоимость!$B$30</f>
        <v>355.072204395062</v>
      </c>
      <c r="D12" s="56" t="n">
        <f aca="false">D6*Себестоимость!$B$30</f>
        <v>3550.72204395062</v>
      </c>
      <c r="E12" s="54" t="n">
        <f aca="false">IFERROR(D12/B12,0)</f>
        <v>200</v>
      </c>
      <c r="F12" s="2" t="s">
        <v>161</v>
      </c>
    </row>
    <row r="13" customFormat="false" ht="15" hidden="false" customHeight="false" outlineLevel="0" collapsed="false">
      <c r="A13" s="6" t="s">
        <v>162</v>
      </c>
      <c r="B13" s="35" t="n">
        <f aca="false">B12-B11</f>
        <v>14.2988827123457</v>
      </c>
      <c r="C13" s="35" t="n">
        <f aca="false">C12-C11</f>
        <v>285.977654246914</v>
      </c>
      <c r="D13" s="35" t="n">
        <f aca="false">D12-D11</f>
        <v>2859.77654246914</v>
      </c>
      <c r="E13" s="54" t="n">
        <f aca="false">IFERROR(D13/B13,0)</f>
        <v>200</v>
      </c>
      <c r="F13" s="2" t="s">
        <v>163</v>
      </c>
    </row>
    <row r="14" customFormat="false" ht="15" hidden="false" customHeight="false" outlineLevel="0" collapsed="false">
      <c r="A14" s="6" t="s">
        <v>164</v>
      </c>
      <c r="B14" s="57" t="n">
        <f aca="false">B6/Мощность!$B$14</f>
        <v>0.000145548218330303</v>
      </c>
      <c r="C14" s="57" t="n">
        <f aca="false">C6/Мощность!$B$14</f>
        <v>0.00291096436660605</v>
      </c>
      <c r="D14" s="57" t="n">
        <f aca="false">D6/Мощность!$B$14</f>
        <v>0.0291096436660605</v>
      </c>
      <c r="E14" s="54" t="n">
        <f aca="false">IFERROR(D14/B14,0)</f>
        <v>200</v>
      </c>
    </row>
    <row r="15" customFormat="false" ht="15" hidden="false" customHeight="false" outlineLevel="0" collapsed="false">
      <c r="A15" s="6" t="s">
        <v>165</v>
      </c>
      <c r="B15" s="47" t="n">
        <f aca="false">Мощность!$B$14/B6</f>
        <v>6870.57534246575</v>
      </c>
      <c r="C15" s="47" t="n">
        <f aca="false">Мощность!$B$14/C6</f>
        <v>343.528767123288</v>
      </c>
      <c r="D15" s="47" t="n">
        <f aca="false">Мощность!$B$14/D6</f>
        <v>34.3528767123288</v>
      </c>
      <c r="E15" s="54" t="n">
        <f aca="false">IFERROR(D15/B15,0)</f>
        <v>0.005</v>
      </c>
      <c r="F15" s="2" t="s">
        <v>166</v>
      </c>
    </row>
    <row r="16" customFormat="false" ht="15" hidden="false" customHeight="false" outlineLevel="0" collapsed="false">
      <c r="A16" s="6" t="s">
        <v>167</v>
      </c>
      <c r="B16" s="58" t="n">
        <f aca="false">B6*Допущения_и_данные!$B$57</f>
        <v>4400</v>
      </c>
      <c r="C16" s="58" t="n">
        <f aca="false">C6*Допущения_и_данные!$B$57</f>
        <v>88000</v>
      </c>
      <c r="D16" s="58" t="n">
        <f aca="false">D6*Допущения_и_данные!$B$57</f>
        <v>880000</v>
      </c>
      <c r="E16" s="54" t="n">
        <f aca="false">IFERROR(D16/B16,0)</f>
        <v>200</v>
      </c>
      <c r="F16" s="2" t="s">
        <v>168</v>
      </c>
    </row>
    <row r="17" customFormat="false" ht="15" hidden="false" customHeight="false" outlineLevel="0" collapsed="false">
      <c r="A17" s="6" t="s">
        <v>169</v>
      </c>
      <c r="B17" s="57" t="n">
        <f aca="false">B12/B16</f>
        <v>0.00403491141358025</v>
      </c>
      <c r="C17" s="57" t="n">
        <f aca="false">C12/C16</f>
        <v>0.00403491141358025</v>
      </c>
      <c r="D17" s="57" t="n">
        <f aca="false">D12/D16</f>
        <v>0.00403491141358025</v>
      </c>
      <c r="E17" s="54" t="n">
        <f aca="false">IFERROR(D17/B17,0)</f>
        <v>1</v>
      </c>
      <c r="F17" s="2" t="s">
        <v>170</v>
      </c>
    </row>
    <row r="20" customFormat="false" ht="51" hidden="false" customHeight="true" outlineLevel="0" collapsed="false">
      <c r="A20" s="34" t="s">
        <v>171</v>
      </c>
      <c r="B20" s="34"/>
      <c r="C20" s="34"/>
      <c r="D20" s="34"/>
      <c r="E20" s="34"/>
      <c r="F20" s="34"/>
    </row>
    <row r="21" customFormat="false" ht="51" hidden="false" customHeight="true" outlineLevel="0" collapsed="false">
      <c r="A21" s="34" t="s">
        <v>172</v>
      </c>
      <c r="B21" s="34"/>
      <c r="C21" s="34"/>
      <c r="D21" s="34"/>
      <c r="E21" s="34"/>
      <c r="F21" s="34"/>
    </row>
    <row r="22" customFormat="false" ht="51" hidden="false" customHeight="true" outlineLevel="0" collapsed="false">
      <c r="A22" s="34" t="s">
        <v>173</v>
      </c>
      <c r="B22" s="34"/>
      <c r="C22" s="34"/>
      <c r="D22" s="34"/>
      <c r="E22" s="34"/>
      <c r="F22" s="34"/>
    </row>
  </sheetData>
  <mergeCells count="3"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7"/>
    <col collapsed="false" customWidth="true" hidden="false" outlineLevel="0" max="6" min="6" style="0" width="72"/>
  </cols>
  <sheetData>
    <row r="1" customFormat="false" ht="16.15" hidden="false" customHeight="false" outlineLevel="0" collapsed="false">
      <c r="A1" s="1" t="s">
        <v>174</v>
      </c>
    </row>
    <row r="3" customFormat="false" ht="15" hidden="false" customHeight="false" outlineLevel="0" collapsed="false">
      <c r="A3" s="3" t="s">
        <v>175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16" t="s">
        <v>176</v>
      </c>
      <c r="B4" s="59" t="n">
        <f aca="false">Допущения_и_данные!$B$38</f>
        <v>32</v>
      </c>
      <c r="F4" s="2" t="s">
        <v>177</v>
      </c>
    </row>
    <row r="5" customFormat="false" ht="15" hidden="false" customHeight="false" outlineLevel="0" collapsed="false">
      <c r="A5" s="16" t="s">
        <v>178</v>
      </c>
      <c r="B5" s="60" t="n">
        <f aca="false">Допущения_и_данные!$B$37</f>
        <v>2.15</v>
      </c>
      <c r="F5" s="2" t="s">
        <v>179</v>
      </c>
    </row>
    <row r="6" customFormat="false" ht="15" hidden="false" customHeight="false" outlineLevel="0" collapsed="false">
      <c r="A6" s="16" t="s">
        <v>40</v>
      </c>
      <c r="B6" s="60" t="n">
        <f aca="false">Допущения_и_данные!$B$24</f>
        <v>1.80246913580247</v>
      </c>
      <c r="F6" s="2" t="s">
        <v>180</v>
      </c>
    </row>
    <row r="7" customFormat="false" ht="15" hidden="false" customHeight="false" outlineLevel="0" collapsed="false">
      <c r="A7" s="10" t="s">
        <v>181</v>
      </c>
      <c r="B7" s="61" t="n">
        <f aca="false">Допущения_и_данные!$B$37*3600/Допущения_и_данные!$B$24</f>
        <v>4294.1095890411</v>
      </c>
      <c r="F7" s="2" t="s">
        <v>182</v>
      </c>
    </row>
    <row r="8" customFormat="false" ht="15" hidden="false" customHeight="false" outlineLevel="0" collapsed="false">
      <c r="A8" s="10" t="s">
        <v>183</v>
      </c>
      <c r="B8" s="61" t="n">
        <f aca="false">B7*Допущения_и_данные!$B$45</f>
        <v>3005.87671232877</v>
      </c>
      <c r="F8" s="2" t="s">
        <v>184</v>
      </c>
    </row>
    <row r="10" customFormat="false" ht="15" hidden="false" customHeight="false" outlineLevel="0" collapsed="false">
      <c r="A10" s="3" t="s">
        <v>185</v>
      </c>
      <c r="B10" s="3"/>
      <c r="C10" s="3"/>
      <c r="D10" s="3"/>
      <c r="E10" s="3"/>
      <c r="F10" s="3"/>
    </row>
    <row r="11" customFormat="false" ht="15" hidden="false" customHeight="false" outlineLevel="0" collapsed="false">
      <c r="A11" s="16" t="s">
        <v>59</v>
      </c>
      <c r="B11" s="59" t="n">
        <f aca="false">Допущения_и_данные!$B$39</f>
        <v>8</v>
      </c>
      <c r="F11" s="2" t="s">
        <v>186</v>
      </c>
    </row>
    <row r="12" customFormat="false" ht="15" hidden="false" customHeight="false" outlineLevel="0" collapsed="false">
      <c r="A12" s="10" t="s">
        <v>187</v>
      </c>
      <c r="B12" s="61" t="n">
        <f aca="false">Допущения_и_данные!$B$38/Допущения_и_данные!$B$39</f>
        <v>4</v>
      </c>
      <c r="F12" s="2" t="s">
        <v>188</v>
      </c>
    </row>
    <row r="13" customFormat="false" ht="15" hidden="false" customHeight="false" outlineLevel="0" collapsed="false">
      <c r="A13" s="16" t="s">
        <v>60</v>
      </c>
      <c r="B13" s="59" t="n">
        <f aca="false">Допущения_и_данные!$B$40</f>
        <v>78</v>
      </c>
      <c r="F13" s="2" t="s">
        <v>189</v>
      </c>
    </row>
    <row r="14" customFormat="false" ht="15" hidden="false" customHeight="false" outlineLevel="0" collapsed="false">
      <c r="A14" s="10" t="s">
        <v>190</v>
      </c>
      <c r="B14" s="61" t="n">
        <f aca="false">B7*Допущения_и_данные!$B$44*Допущения_и_данные!$B$43</f>
        <v>755763.287671233</v>
      </c>
      <c r="F14" s="2" t="s">
        <v>191</v>
      </c>
    </row>
    <row r="15" customFormat="false" ht="15" hidden="false" customHeight="false" outlineLevel="0" collapsed="false">
      <c r="A15" s="10" t="s">
        <v>192</v>
      </c>
      <c r="B15" s="61" t="n">
        <f aca="false">B14*Допущения_и_данные!$B$45</f>
        <v>529034.301369863</v>
      </c>
      <c r="F15" s="2" t="s">
        <v>193</v>
      </c>
    </row>
    <row r="16" customFormat="false" ht="15" hidden="false" customHeight="false" outlineLevel="0" collapsed="false">
      <c r="A16" s="16" t="s">
        <v>194</v>
      </c>
      <c r="B16" s="59" t="n">
        <f aca="false">B7*730</f>
        <v>3134700</v>
      </c>
      <c r="F16" s="2" t="s">
        <v>195</v>
      </c>
    </row>
    <row r="18" customFormat="false" ht="15" hidden="false" customHeight="false" outlineLevel="0" collapsed="false">
      <c r="A18" s="10" t="s">
        <v>196</v>
      </c>
    </row>
    <row r="19" customFormat="false" ht="31.5" hidden="false" customHeight="true" outlineLevel="0" collapsed="false">
      <c r="A19" s="4" t="s">
        <v>197</v>
      </c>
      <c r="B19" s="4" t="s">
        <v>198</v>
      </c>
      <c r="C19" s="4" t="s">
        <v>199</v>
      </c>
      <c r="D19" s="4" t="s">
        <v>200</v>
      </c>
      <c r="E19" s="4" t="s">
        <v>201</v>
      </c>
    </row>
    <row r="20" customFormat="false" ht="30" hidden="false" customHeight="true" outlineLevel="0" collapsed="false">
      <c r="A20" s="6" t="s">
        <v>202</v>
      </c>
      <c r="B20" s="47" t="n">
        <f aca="false">$B$7/Допущения_и_данные!$C$15</f>
        <v>3067.22113502935</v>
      </c>
      <c r="C20" s="47" t="n">
        <f aca="false">$B$12/Допущения_и_данные!$G$15*3600</f>
        <v>407.932011331445</v>
      </c>
      <c r="D20" s="44" t="n">
        <f aca="false">MIN(B20,C20)</f>
        <v>407.932011331445</v>
      </c>
      <c r="E20" s="62" t="str">
        <f aca="false">IF(B20&lt;C20,"пропускная способность","одновременность")</f>
        <v>одновременность</v>
      </c>
      <c r="F20" s="2" t="s">
        <v>203</v>
      </c>
    </row>
    <row r="21" customFormat="false" ht="15" hidden="false" customHeight="false" outlineLevel="0" collapsed="false">
      <c r="A21" s="6" t="s">
        <v>204</v>
      </c>
      <c r="B21" s="47" t="n">
        <f aca="false">$B$7/Допущения_и_данные!$C$16</f>
        <v>456.820169046925</v>
      </c>
      <c r="C21" s="47" t="n">
        <f aca="false">$B$12/Допущения_и_данные!$G$16*3600</f>
        <v>178.438661710037</v>
      </c>
      <c r="D21" s="44" t="n">
        <f aca="false">MIN(B21,C21)</f>
        <v>178.438661710037</v>
      </c>
      <c r="E21" s="62" t="str">
        <f aca="false">IF(B21&lt;C21,"пропускная способность","одновременность")</f>
        <v>одновременность</v>
      </c>
    </row>
    <row r="22" customFormat="false" ht="15" hidden="false" customHeight="false" outlineLevel="0" collapsed="false">
      <c r="A22" s="6" t="s">
        <v>205</v>
      </c>
      <c r="B22" s="47" t="n">
        <f aca="false">$B$7/Допущения_и_данные!$C$17</f>
        <v>144.582814445828</v>
      </c>
      <c r="C22" s="47" t="n">
        <f aca="false">$B$12/Допущения_и_данные!$G$17*3600</f>
        <v>189.723320158103</v>
      </c>
      <c r="D22" s="44" t="n">
        <f aca="false">MIN(B22,C22)</f>
        <v>144.582814445828</v>
      </c>
      <c r="E22" s="62" t="str">
        <f aca="false">IF(B22&lt;C22,"пропускная способность","одновременность")</f>
        <v>пропускная способность</v>
      </c>
    </row>
    <row r="23" customFormat="false" ht="15" hidden="false" customHeight="false" outlineLevel="0" collapsed="false">
      <c r="A23" s="6" t="s">
        <v>206</v>
      </c>
      <c r="B23" s="47" t="n">
        <f aca="false">$B$7/Допущения_и_данные!$B$26</f>
        <v>318.082191780822</v>
      </c>
      <c r="C23" s="47" t="n">
        <f aca="false">$B$12/Допущения_и_данные!$B$40*3600</f>
        <v>184.615384615385</v>
      </c>
      <c r="D23" s="44" t="n">
        <f aca="false">MIN(B23,C23)</f>
        <v>184.615384615385</v>
      </c>
      <c r="E23" s="62" t="str">
        <f aca="false">IF(B23&lt;C23,"пропускная способность","одновременность")</f>
        <v>одновременность</v>
      </c>
    </row>
    <row r="25" customFormat="false" ht="15" hidden="false" customHeight="false" outlineLevel="0" collapsed="false">
      <c r="A25" s="3" t="s">
        <v>207</v>
      </c>
      <c r="B25" s="3"/>
      <c r="C25" s="3"/>
      <c r="D25" s="3"/>
      <c r="E25" s="3"/>
      <c r="F25" s="3"/>
    </row>
    <row r="26" customFormat="false" ht="31.5" hidden="false" customHeight="true" outlineLevel="0" collapsed="false">
      <c r="A26" s="4" t="s">
        <v>208</v>
      </c>
      <c r="B26" s="4" t="s">
        <v>209</v>
      </c>
      <c r="C26" s="4" t="s">
        <v>210</v>
      </c>
      <c r="D26" s="4" t="s">
        <v>211</v>
      </c>
    </row>
    <row r="27" customFormat="false" ht="15" hidden="false" customHeight="false" outlineLevel="0" collapsed="false">
      <c r="A27" s="6" t="s">
        <v>212</v>
      </c>
      <c r="B27" s="55" t="n">
        <f aca="false">5/Допущения_и_данные!$B$44</f>
        <v>0.625</v>
      </c>
      <c r="C27" s="47" t="n">
        <f aca="false">$B$7/B27</f>
        <v>6870.57534246575</v>
      </c>
      <c r="D27" s="44" t="n">
        <f aca="false">$B$8/B27</f>
        <v>4809.40273972603</v>
      </c>
    </row>
    <row r="28" customFormat="false" ht="15" hidden="false" customHeight="false" outlineLevel="0" collapsed="false">
      <c r="A28" s="6" t="s">
        <v>213</v>
      </c>
      <c r="B28" s="55" t="n">
        <f aca="false">100/Допущения_и_данные!$B$44</f>
        <v>12.5</v>
      </c>
      <c r="C28" s="47" t="n">
        <f aca="false">$B$7/B28</f>
        <v>343.528767123288</v>
      </c>
      <c r="D28" s="44" t="n">
        <f aca="false">$B$8/B28</f>
        <v>240.470136986301</v>
      </c>
    </row>
    <row r="29" customFormat="false" ht="15" hidden="false" customHeight="false" outlineLevel="0" collapsed="false">
      <c r="A29" s="6" t="s">
        <v>214</v>
      </c>
      <c r="B29" s="55" t="n">
        <f aca="false">1000/Допущения_и_данные!$B$44</f>
        <v>125</v>
      </c>
      <c r="C29" s="47" t="n">
        <f aca="false">$B$7/B29</f>
        <v>34.3528767123288</v>
      </c>
      <c r="D29" s="44" t="n">
        <f aca="false">$B$8/B29</f>
        <v>24.0470136986301</v>
      </c>
    </row>
    <row r="31" customFormat="false" ht="15" hidden="false" customHeight="false" outlineLevel="0" collapsed="false">
      <c r="A31" s="10" t="s">
        <v>215</v>
      </c>
    </row>
    <row r="32" customFormat="false" ht="15" hidden="false" customHeight="false" outlineLevel="0" collapsed="false">
      <c r="A32" s="4" t="s">
        <v>216</v>
      </c>
      <c r="B32" s="4" t="s">
        <v>217</v>
      </c>
    </row>
    <row r="33" customFormat="false" ht="39.75" hidden="false" customHeight="true" outlineLevel="0" collapsed="false">
      <c r="A33" s="11" t="n">
        <v>2</v>
      </c>
      <c r="B33" s="63" t="n">
        <f aca="false">$B$12*(Допущения_и_данные!$B$40+A33*60)/Допущения_и_данные!$B$40</f>
        <v>10.1538461538462</v>
      </c>
      <c r="F33" s="2" t="s">
        <v>218</v>
      </c>
    </row>
    <row r="34" customFormat="false" ht="15" hidden="false" customHeight="false" outlineLevel="0" collapsed="false">
      <c r="A34" s="11" t="n">
        <v>5</v>
      </c>
      <c r="B34" s="63" t="n">
        <f aca="false">$B$12*(Допущения_и_данные!$B$40+A34*60)/Допущения_и_данные!$B$40</f>
        <v>19.3846153846154</v>
      </c>
    </row>
    <row r="35" customFormat="false" ht="15" hidden="false" customHeight="false" outlineLevel="0" collapsed="false">
      <c r="A35" s="11" t="n">
        <v>10</v>
      </c>
      <c r="B35" s="63" t="n">
        <f aca="false">$B$12*(Допущения_и_данные!$B$40+A35*60)/Допущения_и_данные!$B$40</f>
        <v>34.7692307692308</v>
      </c>
    </row>
    <row r="36" customFormat="false" ht="15" hidden="false" customHeight="false" outlineLevel="0" collapsed="false">
      <c r="A36" s="11" t="n">
        <v>30</v>
      </c>
      <c r="B36" s="63" t="n">
        <f aca="false">$B$12*(Допущения_и_данные!$B$40+A36*60)/Допущения_и_данные!$B$40</f>
        <v>96.3076923076923</v>
      </c>
    </row>
    <row r="38" customFormat="false" ht="15" hidden="false" customHeight="false" outlineLevel="0" collapsed="false">
      <c r="A38" s="3" t="s">
        <v>219</v>
      </c>
      <c r="B38" s="3"/>
      <c r="C38" s="3"/>
      <c r="D38" s="3"/>
      <c r="E38" s="3"/>
      <c r="F38" s="3"/>
    </row>
    <row r="39" customFormat="false" ht="31.5" hidden="false" customHeight="true" outlineLevel="0" collapsed="false">
      <c r="A39" s="4" t="s">
        <v>220</v>
      </c>
      <c r="B39" s="4" t="s">
        <v>221</v>
      </c>
      <c r="C39" s="4" t="s">
        <v>222</v>
      </c>
      <c r="D39" s="4" t="s">
        <v>223</v>
      </c>
    </row>
    <row r="40" customFormat="false" ht="15" hidden="false" customHeight="false" outlineLevel="0" collapsed="false">
      <c r="A40" s="6" t="s">
        <v>224</v>
      </c>
      <c r="B40" s="47" t="n">
        <f aca="false">5*Допущения_и_данные!$B$43</f>
        <v>110</v>
      </c>
      <c r="C40" s="44" t="n">
        <f aca="false">$B$15/B40</f>
        <v>4809.40273972603</v>
      </c>
      <c r="D40" s="47" t="n">
        <f aca="false">$B$14/B40</f>
        <v>6870.57534246575</v>
      </c>
    </row>
    <row r="41" customFormat="false" ht="15" hidden="false" customHeight="false" outlineLevel="0" collapsed="false">
      <c r="A41" s="6" t="s">
        <v>225</v>
      </c>
      <c r="B41" s="47" t="n">
        <f aca="false">20*Допущения_и_данные!$B$43</f>
        <v>440</v>
      </c>
      <c r="C41" s="44" t="n">
        <f aca="false">$B$15/B41</f>
        <v>1202.35068493151</v>
      </c>
      <c r="D41" s="47" t="n">
        <f aca="false">$B$14/B41</f>
        <v>1717.64383561644</v>
      </c>
    </row>
    <row r="42" customFormat="false" ht="15" hidden="false" customHeight="false" outlineLevel="0" collapsed="false">
      <c r="A42" s="6" t="s">
        <v>226</v>
      </c>
      <c r="B42" s="47" t="n">
        <f aca="false">100*Допущения_и_данные!$B$43</f>
        <v>2200</v>
      </c>
      <c r="C42" s="44" t="n">
        <f aca="false">$B$15/B42</f>
        <v>240.470136986301</v>
      </c>
      <c r="D42" s="47" t="n">
        <f aca="false">$B$14/B42</f>
        <v>343.528767123288</v>
      </c>
    </row>
    <row r="43" customFormat="false" ht="15" hidden="false" customHeight="false" outlineLevel="0" collapsed="false">
      <c r="A43" s="6" t="s">
        <v>227</v>
      </c>
      <c r="B43" s="47" t="n">
        <f aca="false">300*Допущения_и_данные!$B$43</f>
        <v>6600</v>
      </c>
      <c r="C43" s="44" t="n">
        <f aca="false">$B$15/B43</f>
        <v>80.1567123287671</v>
      </c>
      <c r="D43" s="47" t="n">
        <f aca="false">$B$14/B43</f>
        <v>114.509589041096</v>
      </c>
    </row>
    <row r="44" customFormat="false" ht="15" hidden="false" customHeight="false" outlineLevel="0" collapsed="false">
      <c r="A44" s="6" t="s">
        <v>228</v>
      </c>
      <c r="B44" s="47" t="n">
        <f aca="false">1000*Допущения_и_данные!$B$43</f>
        <v>22000</v>
      </c>
      <c r="C44" s="44" t="n">
        <f aca="false">$B$15/B44</f>
        <v>24.0470136986301</v>
      </c>
      <c r="D44" s="47" t="n">
        <f aca="false">$B$14/B44</f>
        <v>34.3528767123288</v>
      </c>
    </row>
    <row r="46" customFormat="false" ht="51" hidden="false" customHeight="true" outlineLevel="0" collapsed="false">
      <c r="A46" s="34" t="s">
        <v>229</v>
      </c>
      <c r="B46" s="34"/>
      <c r="C46" s="34"/>
      <c r="D46" s="34"/>
      <c r="E46" s="34"/>
      <c r="F46" s="34"/>
    </row>
    <row r="47" customFormat="false" ht="51" hidden="false" customHeight="true" outlineLevel="0" collapsed="false">
      <c r="A47" s="34" t="s">
        <v>230</v>
      </c>
      <c r="B47" s="34"/>
      <c r="C47" s="34"/>
      <c r="D47" s="34"/>
      <c r="E47" s="34"/>
      <c r="F47" s="34"/>
    </row>
    <row r="48" customFormat="false" ht="51" hidden="false" customHeight="true" outlineLevel="0" collapsed="false">
      <c r="A48" s="34" t="s">
        <v>231</v>
      </c>
      <c r="B48" s="34"/>
      <c r="C48" s="34"/>
      <c r="D48" s="34"/>
      <c r="E48" s="34"/>
      <c r="F48" s="34"/>
    </row>
    <row r="49" customFormat="false" ht="36" hidden="false" customHeight="true" outlineLevel="0" collapsed="false">
      <c r="A49" s="34" t="s">
        <v>232</v>
      </c>
      <c r="B49" s="34"/>
      <c r="C49" s="34"/>
      <c r="D49" s="34"/>
      <c r="E49" s="34"/>
      <c r="F49" s="34"/>
    </row>
  </sheetData>
  <mergeCells count="4"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  <col collapsed="false" customWidth="true" hidden="false" outlineLevel="0" max="7" min="7" style="0" width="66"/>
  </cols>
  <sheetData>
    <row r="1" customFormat="false" ht="16.15" hidden="false" customHeight="false" outlineLevel="0" collapsed="false">
      <c r="A1" s="1" t="s">
        <v>233</v>
      </c>
    </row>
    <row r="2" customFormat="false" ht="15" hidden="false" customHeight="false" outlineLevel="0" collapsed="false">
      <c r="A2" s="2" t="s">
        <v>234</v>
      </c>
    </row>
    <row r="4" customFormat="false" ht="15" hidden="false" customHeight="false" outlineLevel="0" collapsed="false">
      <c r="A4" s="3" t="s">
        <v>235</v>
      </c>
      <c r="B4" s="3"/>
      <c r="C4" s="3"/>
      <c r="D4" s="3"/>
      <c r="E4" s="3"/>
      <c r="F4" s="3"/>
      <c r="G4" s="3"/>
    </row>
    <row r="5" customFormat="false" ht="43.5" hidden="false" customHeight="true" outlineLevel="0" collapsed="false">
      <c r="A5" s="16" t="s">
        <v>236</v>
      </c>
      <c r="B5" s="31" t="n">
        <v>6900</v>
      </c>
      <c r="E5" s="18" t="s">
        <v>45</v>
      </c>
      <c r="G5" s="2" t="s">
        <v>237</v>
      </c>
    </row>
    <row r="6" customFormat="false" ht="15" hidden="false" customHeight="false" outlineLevel="0" collapsed="false">
      <c r="A6" s="16" t="s">
        <v>238</v>
      </c>
      <c r="B6" s="31" t="n">
        <v>8</v>
      </c>
      <c r="E6" s="18" t="s">
        <v>45</v>
      </c>
    </row>
    <row r="7" customFormat="false" ht="15" hidden="false" customHeight="false" outlineLevel="0" collapsed="false">
      <c r="A7" s="16" t="s">
        <v>239</v>
      </c>
      <c r="B7" s="31" t="n">
        <v>19900</v>
      </c>
      <c r="E7" s="18" t="s">
        <v>45</v>
      </c>
    </row>
    <row r="8" customFormat="false" ht="15" hidden="false" customHeight="false" outlineLevel="0" collapsed="false">
      <c r="A8" s="16" t="s">
        <v>240</v>
      </c>
      <c r="B8" s="29" t="n">
        <v>1500</v>
      </c>
      <c r="E8" s="18" t="s">
        <v>45</v>
      </c>
    </row>
    <row r="9" customFormat="false" ht="15" hidden="false" customHeight="false" outlineLevel="0" collapsed="false">
      <c r="A9" s="16" t="s">
        <v>241</v>
      </c>
      <c r="B9" s="31" t="n">
        <v>8</v>
      </c>
      <c r="E9" s="18" t="s">
        <v>45</v>
      </c>
    </row>
    <row r="10" customFormat="false" ht="15" hidden="false" customHeight="false" outlineLevel="0" collapsed="false">
      <c r="A10" s="16" t="s">
        <v>242</v>
      </c>
      <c r="B10" s="31" t="n">
        <v>9900</v>
      </c>
      <c r="E10" s="18" t="s">
        <v>45</v>
      </c>
    </row>
    <row r="11" customFormat="false" ht="15" hidden="false" customHeight="false" outlineLevel="0" collapsed="false">
      <c r="A11" s="16" t="s">
        <v>243</v>
      </c>
      <c r="B11" s="29" t="n">
        <v>500</v>
      </c>
      <c r="E11" s="18" t="s">
        <v>45</v>
      </c>
    </row>
    <row r="12" customFormat="false" ht="15" hidden="false" customHeight="false" outlineLevel="0" collapsed="false">
      <c r="A12" s="16" t="s">
        <v>244</v>
      </c>
      <c r="B12" s="31" t="n">
        <v>8</v>
      </c>
      <c r="E12" s="18" t="s">
        <v>45</v>
      </c>
    </row>
    <row r="13" customFormat="false" ht="15" hidden="false" customHeight="false" outlineLevel="0" collapsed="false">
      <c r="A13" s="16" t="s">
        <v>245</v>
      </c>
      <c r="B13" s="31" t="n">
        <v>6</v>
      </c>
      <c r="E13" s="18" t="s">
        <v>45</v>
      </c>
    </row>
    <row r="14" customFormat="false" ht="15" hidden="false" customHeight="false" outlineLevel="0" collapsed="false">
      <c r="A14" s="16" t="s">
        <v>246</v>
      </c>
      <c r="B14" s="31" t="n">
        <v>4</v>
      </c>
      <c r="E14" s="18" t="s">
        <v>45</v>
      </c>
    </row>
    <row r="15" customFormat="false" ht="15" hidden="false" customHeight="false" outlineLevel="0" collapsed="false">
      <c r="A15" s="16" t="s">
        <v>247</v>
      </c>
      <c r="B15" s="31" t="n">
        <v>3</v>
      </c>
      <c r="E15" s="18" t="s">
        <v>45</v>
      </c>
    </row>
    <row r="16" customFormat="false" ht="15" hidden="false" customHeight="false" outlineLevel="0" collapsed="false">
      <c r="A16" s="16" t="s">
        <v>248</v>
      </c>
      <c r="B16" s="31" t="n">
        <v>4900</v>
      </c>
      <c r="E16" s="18" t="s">
        <v>45</v>
      </c>
    </row>
    <row r="17" customFormat="false" ht="15" hidden="false" customHeight="false" outlineLevel="0" collapsed="false">
      <c r="A17" s="16" t="s">
        <v>249</v>
      </c>
      <c r="B17" s="29" t="n">
        <v>3</v>
      </c>
      <c r="E17" s="18" t="s">
        <v>45</v>
      </c>
    </row>
    <row r="18" customFormat="false" ht="15" hidden="false" customHeight="false" outlineLevel="0" collapsed="false">
      <c r="A18" s="16" t="s">
        <v>250</v>
      </c>
      <c r="B18" s="29" t="n">
        <v>2200</v>
      </c>
      <c r="E18" s="18" t="s">
        <v>45</v>
      </c>
    </row>
    <row r="20" customFormat="false" ht="15" hidden="false" customHeight="false" outlineLevel="0" collapsed="false">
      <c r="A20" s="3" t="s">
        <v>251</v>
      </c>
      <c r="B20" s="3"/>
      <c r="C20" s="3"/>
      <c r="D20" s="3"/>
      <c r="E20" s="3"/>
      <c r="F20" s="3"/>
      <c r="G20" s="3"/>
    </row>
    <row r="21" customFormat="false" ht="36" hidden="false" customHeight="true" outlineLevel="0" collapsed="false">
      <c r="A21" s="4" t="s">
        <v>252</v>
      </c>
      <c r="B21" s="4" t="s">
        <v>253</v>
      </c>
      <c r="C21" s="4" t="s">
        <v>254</v>
      </c>
      <c r="D21" s="4" t="s">
        <v>255</v>
      </c>
      <c r="E21" s="4" t="s">
        <v>256</v>
      </c>
      <c r="F21" s="4" t="s">
        <v>257</v>
      </c>
      <c r="G21" s="5" t="s">
        <v>258</v>
      </c>
    </row>
    <row r="22" customFormat="false" ht="15" hidden="false" customHeight="false" outlineLevel="0" collapsed="false">
      <c r="A22" s="13" t="s">
        <v>151</v>
      </c>
      <c r="B22" s="14" t="n">
        <f aca="false">5*Допущения_и_данные!$B$43</f>
        <v>110</v>
      </c>
      <c r="C22" s="14" t="n">
        <f aca="false">20*Допущения_и_данные!$B$43</f>
        <v>440</v>
      </c>
      <c r="D22" s="14" t="n">
        <f aca="false">100*Допущения_и_данные!$B$43</f>
        <v>2200</v>
      </c>
      <c r="E22" s="14" t="n">
        <f aca="false">300*Допущения_и_данные!$B$43</f>
        <v>6600</v>
      </c>
      <c r="F22" s="14" t="n">
        <f aca="false">1000*Допущения_и_данные!$B$43</f>
        <v>22000</v>
      </c>
    </row>
    <row r="23" customFormat="false" ht="15" hidden="false" customHeight="false" outlineLevel="0" collapsed="false">
      <c r="A23" s="42" t="s">
        <v>259</v>
      </c>
      <c r="B23" s="64" t="n">
        <f aca="false">$B$5+$B$6*B22</f>
        <v>7780</v>
      </c>
      <c r="C23" s="64" t="n">
        <f aca="false">$B$5+$B$6*C22</f>
        <v>10420</v>
      </c>
      <c r="D23" s="64" t="n">
        <f aca="false">$B$5+$B$6*D22</f>
        <v>24500</v>
      </c>
      <c r="E23" s="64" t="n">
        <f aca="false">$B$5+$B$6*E22</f>
        <v>59700</v>
      </c>
      <c r="F23" s="64" t="n">
        <f aca="false">$B$5+$B$6*F22</f>
        <v>182900</v>
      </c>
      <c r="G23" s="2" t="s">
        <v>260</v>
      </c>
    </row>
    <row r="24" customFormat="false" ht="15" hidden="false" customHeight="false" outlineLevel="0" collapsed="false">
      <c r="A24" s="42" t="s">
        <v>261</v>
      </c>
      <c r="B24" s="64" t="n">
        <f aca="false">$B$7+MAX(0,B22-$B$8)*$B$9</f>
        <v>19900</v>
      </c>
      <c r="C24" s="64" t="n">
        <f aca="false">$B$7+MAX(0,C22-$B$8)*$B$9</f>
        <v>19900</v>
      </c>
      <c r="D24" s="64" t="n">
        <f aca="false">$B$7+MAX(0,D22-$B$8)*$B$9</f>
        <v>25500</v>
      </c>
      <c r="E24" s="64" t="n">
        <f aca="false">$B$7+MAX(0,E22-$B$8)*$B$9</f>
        <v>60700</v>
      </c>
      <c r="F24" s="64" t="n">
        <f aca="false">$B$7+MAX(0,F22-$B$8)*$B$9</f>
        <v>183900</v>
      </c>
      <c r="G24" s="2" t="s">
        <v>262</v>
      </c>
    </row>
    <row r="25" customFormat="false" ht="15" hidden="false" customHeight="false" outlineLevel="0" collapsed="false">
      <c r="A25" s="42" t="s">
        <v>263</v>
      </c>
      <c r="B25" s="64" t="n">
        <f aca="false">$B$10+MIN(MAX(0,B22-$B$11),3000-$B$11)*$B$12+MIN(MAX(0,B22-3000),7000)*$B$13+MIN(MAX(0,B22-10000),20000)*$B$14+MAX(0,B22-30000)*$B$15</f>
        <v>9900</v>
      </c>
      <c r="C25" s="64" t="n">
        <f aca="false">$B$10+MIN(MAX(0,C22-$B$11),3000-$B$11)*$B$12+MIN(MAX(0,C22-3000),7000)*$B$13+MIN(MAX(0,C22-10000),20000)*$B$14+MAX(0,C22-30000)*$B$15</f>
        <v>9900</v>
      </c>
      <c r="D25" s="64" t="n">
        <f aca="false">$B$10+MIN(MAX(0,D22-$B$11),3000-$B$11)*$B$12+MIN(MAX(0,D22-3000),7000)*$B$13+MIN(MAX(0,D22-10000),20000)*$B$14+MAX(0,D22-30000)*$B$15</f>
        <v>23500</v>
      </c>
      <c r="E25" s="64" t="n">
        <f aca="false">$B$10+MIN(MAX(0,E22-$B$11),3000-$B$11)*$B$12+MIN(MAX(0,E22-3000),7000)*$B$13+MIN(MAX(0,E22-10000),20000)*$B$14+MAX(0,E22-30000)*$B$15</f>
        <v>51500</v>
      </c>
      <c r="F25" s="64" t="n">
        <f aca="false">$B$10+MIN(MAX(0,F22-$B$11),3000-$B$11)*$B$12+MIN(MAX(0,F22-3000),7000)*$B$13+MIN(MAX(0,F22-10000),20000)*$B$14+MAX(0,F22-30000)*$B$15</f>
        <v>119900</v>
      </c>
      <c r="G25" s="2" t="s">
        <v>264</v>
      </c>
    </row>
    <row r="26" customFormat="false" ht="15" hidden="false" customHeight="false" outlineLevel="0" collapsed="false">
      <c r="A26" s="42" t="s">
        <v>265</v>
      </c>
      <c r="B26" s="64" t="n">
        <f aca="false">$B$16*MAX($B$17,ROUNDUP(B22/$B$18,0))</f>
        <v>14700</v>
      </c>
      <c r="C26" s="64" t="n">
        <f aca="false">$B$16*MAX($B$17,ROUNDUP(C22/$B$18,0))</f>
        <v>14700</v>
      </c>
      <c r="D26" s="64" t="n">
        <f aca="false">$B$16*MAX($B$17,ROUNDUP(D22/$B$18,0))</f>
        <v>14700</v>
      </c>
      <c r="E26" s="64" t="n">
        <f aca="false">$B$16*MAX($B$17,ROUNDUP(E22/$B$18,0))</f>
        <v>14700</v>
      </c>
      <c r="F26" s="64" t="n">
        <f aca="false">$B$16*MAX($B$17,ROUNDUP(F22/$B$18,0))</f>
        <v>49000</v>
      </c>
      <c r="G26" s="2" t="s">
        <v>266</v>
      </c>
    </row>
    <row r="27" customFormat="false" ht="15" hidden="false" customHeight="false" outlineLevel="0" collapsed="false">
      <c r="A27" s="6" t="s">
        <v>267</v>
      </c>
      <c r="B27" s="65" t="n">
        <f aca="false">B22*Допущения_и_данные!$B$57</f>
        <v>4400</v>
      </c>
      <c r="C27" s="65" t="n">
        <f aca="false">C22*Допущения_и_данные!$B$57</f>
        <v>17600</v>
      </c>
      <c r="D27" s="65" t="n">
        <f aca="false">D22*Допущения_и_данные!$B$57</f>
        <v>88000</v>
      </c>
      <c r="E27" s="65" t="n">
        <f aca="false">E22*Допущения_и_данные!$B$57</f>
        <v>264000</v>
      </c>
      <c r="F27" s="65" t="n">
        <f aca="false">F22*Допущения_и_данные!$B$57</f>
        <v>880000</v>
      </c>
    </row>
    <row r="29" customFormat="false" ht="15" hidden="false" customHeight="false" outlineLevel="0" collapsed="false">
      <c r="A29" s="3" t="s">
        <v>268</v>
      </c>
      <c r="B29" s="3"/>
      <c r="C29" s="3"/>
      <c r="D29" s="3"/>
      <c r="E29" s="3"/>
      <c r="F29" s="3"/>
      <c r="G29" s="3"/>
    </row>
    <row r="30" customFormat="false" ht="15" hidden="false" customHeight="false" outlineLevel="0" collapsed="false">
      <c r="A30" s="66" t="s">
        <v>269</v>
      </c>
      <c r="B30" s="4" t="s">
        <v>270</v>
      </c>
      <c r="C30" s="4" t="s">
        <v>271</v>
      </c>
      <c r="D30" s="4" t="s">
        <v>272</v>
      </c>
      <c r="E30" s="4" t="s">
        <v>273</v>
      </c>
      <c r="F30" s="4" t="s">
        <v>274</v>
      </c>
    </row>
    <row r="31" customFormat="false" ht="15" hidden="false" customHeight="false" outlineLevel="0" collapsed="false">
      <c r="A31" s="6" t="s">
        <v>275</v>
      </c>
      <c r="B31" s="58" t="n">
        <f aca="false">B23</f>
        <v>7780</v>
      </c>
      <c r="C31" s="58" t="n">
        <f aca="false">C23</f>
        <v>10420</v>
      </c>
      <c r="D31" s="58" t="n">
        <f aca="false">D23</f>
        <v>24500</v>
      </c>
      <c r="E31" s="58" t="n">
        <f aca="false">E23</f>
        <v>59700</v>
      </c>
      <c r="F31" s="58" t="n">
        <f aca="false">F23</f>
        <v>182900</v>
      </c>
    </row>
    <row r="32" customFormat="false" ht="15" hidden="false" customHeight="false" outlineLevel="0" collapsed="false">
      <c r="A32" s="6" t="s">
        <v>276</v>
      </c>
      <c r="B32" s="35" t="n">
        <f aca="false">-B22*Себестоимость!$B$29</f>
        <v>-3.45472750740741</v>
      </c>
      <c r="C32" s="35" t="n">
        <f aca="false">-C22*Себестоимость!$B$29</f>
        <v>-13.8189100296296</v>
      </c>
      <c r="D32" s="35" t="n">
        <f aca="false">-D22*Себестоимость!$B$29</f>
        <v>-69.0945501481482</v>
      </c>
      <c r="E32" s="35" t="n">
        <f aca="false">-E22*Себестоимость!$B$29</f>
        <v>-207.283650444444</v>
      </c>
      <c r="F32" s="35" t="n">
        <f aca="false">-F22*Себестоимость!$B$29</f>
        <v>-690.945501481482</v>
      </c>
    </row>
    <row r="33" customFormat="false" ht="15" hidden="false" customHeight="false" outlineLevel="0" collapsed="false">
      <c r="A33" s="6" t="s">
        <v>277</v>
      </c>
      <c r="B33" s="58" t="n">
        <f aca="false">-Допущения_и_данные!$B$56</f>
        <v>-6000</v>
      </c>
      <c r="C33" s="58" t="n">
        <f aca="false">-Допущения_и_данные!$B$56</f>
        <v>-6000</v>
      </c>
      <c r="D33" s="58" t="n">
        <f aca="false">-Допущения_и_данные!$B$56</f>
        <v>-6000</v>
      </c>
      <c r="E33" s="58" t="n">
        <f aca="false">-Допущения_и_данные!$B$56</f>
        <v>-6000</v>
      </c>
      <c r="F33" s="58" t="n">
        <f aca="false">-Допущения_и_данные!$B$56</f>
        <v>-6000</v>
      </c>
    </row>
    <row r="34" customFormat="false" ht="15" hidden="false" customHeight="false" outlineLevel="0" collapsed="false">
      <c r="A34" s="13" t="s">
        <v>278</v>
      </c>
      <c r="B34" s="67" t="n">
        <f aca="false">B31+B32+B33</f>
        <v>1776.54527249259</v>
      </c>
      <c r="C34" s="67" t="n">
        <f aca="false">C31+C32+C33</f>
        <v>4406.18108997037</v>
      </c>
      <c r="D34" s="67" t="n">
        <f aca="false">D31+D32+D33</f>
        <v>18430.9054498519</v>
      </c>
      <c r="E34" s="67" t="n">
        <f aca="false">E31+E32+E33</f>
        <v>53492.7163495556</v>
      </c>
      <c r="F34" s="67" t="n">
        <f aca="false">F31+F32+F33</f>
        <v>176209.054498519</v>
      </c>
    </row>
    <row r="35" customFormat="false" ht="15" hidden="false" customHeight="false" outlineLevel="0" collapsed="false">
      <c r="A35" s="13" t="s">
        <v>279</v>
      </c>
      <c r="B35" s="38" t="n">
        <f aca="false">IFERROR(B34/B31,0)</f>
        <v>0.228347721400076</v>
      </c>
      <c r="C35" s="38" t="n">
        <f aca="false">IFERROR(C34/C31,0)</f>
        <v>0.422858070054738</v>
      </c>
      <c r="D35" s="38" t="n">
        <f aca="false">IFERROR(D34/D31,0)</f>
        <v>0.752281855095994</v>
      </c>
      <c r="E35" s="38" t="n">
        <f aca="false">IFERROR(E34/E31,0)</f>
        <v>0.896025399490043</v>
      </c>
      <c r="F35" s="38" t="n">
        <f aca="false">IFERROR(F34/F31,0)</f>
        <v>0.963417465820222</v>
      </c>
    </row>
    <row r="36" customFormat="false" ht="15" hidden="false" customHeight="false" outlineLevel="0" collapsed="false">
      <c r="A36" s="13" t="s">
        <v>280</v>
      </c>
      <c r="B36" s="44" t="n">
        <f aca="false">IF(B34&lt;=0,"никогда",ROUNDUP(Допущения_и_данные!$B$54/B34,0))</f>
        <v>5</v>
      </c>
      <c r="C36" s="44" t="n">
        <f aca="false">IF(C34&lt;=0,"никогда",ROUNDUP(Допущения_и_данные!$B$54/C34,0))</f>
        <v>2</v>
      </c>
      <c r="D36" s="44" t="n">
        <f aca="false">IF(D34&lt;=0,"никогда",ROUNDUP(Допущения_и_данные!$B$54/D34,0))</f>
        <v>1</v>
      </c>
      <c r="E36" s="44" t="n">
        <f aca="false">IF(E34&lt;=0,"никогда",ROUNDUP(Допущения_и_данные!$B$54/E34,0))</f>
        <v>1</v>
      </c>
      <c r="F36" s="44" t="n">
        <f aca="false">IF(F34&lt;=0,"никогда",ROUNDUP(Допущения_и_данные!$B$54/F34,0))</f>
        <v>1</v>
      </c>
    </row>
    <row r="37" customFormat="false" ht="15" hidden="false" customHeight="false" outlineLevel="0" collapsed="false">
      <c r="A37" s="66" t="s">
        <v>281</v>
      </c>
      <c r="B37" s="4" t="s">
        <v>270</v>
      </c>
      <c r="C37" s="4" t="s">
        <v>271</v>
      </c>
      <c r="D37" s="4" t="s">
        <v>272</v>
      </c>
      <c r="E37" s="4" t="s">
        <v>273</v>
      </c>
      <c r="F37" s="4" t="s">
        <v>274</v>
      </c>
    </row>
    <row r="38" customFormat="false" ht="15" hidden="false" customHeight="false" outlineLevel="0" collapsed="false">
      <c r="A38" s="6" t="s">
        <v>275</v>
      </c>
      <c r="B38" s="58" t="n">
        <f aca="false">B24</f>
        <v>19900</v>
      </c>
      <c r="C38" s="58" t="n">
        <f aca="false">C24</f>
        <v>19900</v>
      </c>
      <c r="D38" s="58" t="n">
        <f aca="false">D24</f>
        <v>25500</v>
      </c>
      <c r="E38" s="58" t="n">
        <f aca="false">E24</f>
        <v>60700</v>
      </c>
      <c r="F38" s="58" t="n">
        <f aca="false">F24</f>
        <v>183900</v>
      </c>
    </row>
    <row r="39" customFormat="false" ht="15" hidden="false" customHeight="false" outlineLevel="0" collapsed="false">
      <c r="A39" s="6" t="s">
        <v>276</v>
      </c>
      <c r="B39" s="35" t="n">
        <f aca="false">-B22*Себестоимость!$B$29</f>
        <v>-3.45472750740741</v>
      </c>
      <c r="C39" s="35" t="n">
        <f aca="false">-C22*Себестоимость!$B$29</f>
        <v>-13.8189100296296</v>
      </c>
      <c r="D39" s="35" t="n">
        <f aca="false">-D22*Себестоимость!$B$29</f>
        <v>-69.0945501481482</v>
      </c>
      <c r="E39" s="35" t="n">
        <f aca="false">-E22*Себестоимость!$B$29</f>
        <v>-207.283650444444</v>
      </c>
      <c r="F39" s="35" t="n">
        <f aca="false">-F22*Себестоимость!$B$29</f>
        <v>-690.945501481482</v>
      </c>
    </row>
    <row r="40" customFormat="false" ht="15" hidden="false" customHeight="false" outlineLevel="0" collapsed="false">
      <c r="A40" s="6" t="s">
        <v>277</v>
      </c>
      <c r="B40" s="58" t="n">
        <f aca="false">-Допущения_и_данные!$B$56</f>
        <v>-6000</v>
      </c>
      <c r="C40" s="58" t="n">
        <f aca="false">-Допущения_и_данные!$B$56</f>
        <v>-6000</v>
      </c>
      <c r="D40" s="58" t="n">
        <f aca="false">-Допущения_и_данные!$B$56</f>
        <v>-6000</v>
      </c>
      <c r="E40" s="58" t="n">
        <f aca="false">-Допущения_и_данные!$B$56</f>
        <v>-6000</v>
      </c>
      <c r="F40" s="58" t="n">
        <f aca="false">-Допущения_и_данные!$B$56</f>
        <v>-6000</v>
      </c>
    </row>
    <row r="41" customFormat="false" ht="15" hidden="false" customHeight="false" outlineLevel="0" collapsed="false">
      <c r="A41" s="13" t="s">
        <v>278</v>
      </c>
      <c r="B41" s="67" t="n">
        <f aca="false">B38+B39+B40</f>
        <v>13896.5452724926</v>
      </c>
      <c r="C41" s="67" t="n">
        <f aca="false">C38+C39+C40</f>
        <v>13886.1810899704</v>
      </c>
      <c r="D41" s="67" t="n">
        <f aca="false">D38+D39+D40</f>
        <v>19430.9054498519</v>
      </c>
      <c r="E41" s="67" t="n">
        <f aca="false">E38+E39+E40</f>
        <v>54492.7163495556</v>
      </c>
      <c r="F41" s="67" t="n">
        <f aca="false">F38+F39+F40</f>
        <v>177209.054498519</v>
      </c>
    </row>
    <row r="42" customFormat="false" ht="15" hidden="false" customHeight="false" outlineLevel="0" collapsed="false">
      <c r="A42" s="13" t="s">
        <v>279</v>
      </c>
      <c r="B42" s="38" t="n">
        <f aca="false">IFERROR(B41/B38,0)</f>
        <v>0.698318857914201</v>
      </c>
      <c r="C42" s="38" t="n">
        <f aca="false">IFERROR(C41/C38,0)</f>
        <v>0.697798044722129</v>
      </c>
      <c r="D42" s="38" t="n">
        <f aca="false">IFERROR(D41/D38,0)</f>
        <v>0.761996292151053</v>
      </c>
      <c r="E42" s="38" t="n">
        <f aca="false">IFERROR(E41/E38,0)</f>
        <v>0.897738325363354</v>
      </c>
      <c r="F42" s="38" t="n">
        <f aca="false">IFERROR(F41/F38,0)</f>
        <v>0.963616392052847</v>
      </c>
    </row>
    <row r="43" customFormat="false" ht="15" hidden="false" customHeight="false" outlineLevel="0" collapsed="false">
      <c r="A43" s="13" t="s">
        <v>280</v>
      </c>
      <c r="B43" s="44" t="n">
        <f aca="false">IF(B41&lt;=0,"никогда",ROUNDUP(Допущения_и_данные!$B$54/B41,0))</f>
        <v>1</v>
      </c>
      <c r="C43" s="44" t="n">
        <f aca="false">IF(C41&lt;=0,"никогда",ROUNDUP(Допущения_и_данные!$B$54/C41,0))</f>
        <v>1</v>
      </c>
      <c r="D43" s="44" t="n">
        <f aca="false">IF(D41&lt;=0,"никогда",ROUNDUP(Допущения_и_данные!$B$54/D41,0))</f>
        <v>1</v>
      </c>
      <c r="E43" s="44" t="n">
        <f aca="false">IF(E41&lt;=0,"никогда",ROUNDUP(Допущения_и_данные!$B$54/E41,0))</f>
        <v>1</v>
      </c>
      <c r="F43" s="44" t="n">
        <f aca="false">IF(F41&lt;=0,"никогда",ROUNDUP(Допущения_и_данные!$B$54/F41,0))</f>
        <v>1</v>
      </c>
    </row>
    <row r="44" customFormat="false" ht="15" hidden="false" customHeight="false" outlineLevel="0" collapsed="false">
      <c r="A44" s="66" t="s">
        <v>282</v>
      </c>
      <c r="B44" s="4" t="s">
        <v>270</v>
      </c>
      <c r="C44" s="4" t="s">
        <v>271</v>
      </c>
      <c r="D44" s="4" t="s">
        <v>272</v>
      </c>
      <c r="E44" s="4" t="s">
        <v>273</v>
      </c>
      <c r="F44" s="4" t="s">
        <v>274</v>
      </c>
    </row>
    <row r="45" customFormat="false" ht="15" hidden="false" customHeight="false" outlineLevel="0" collapsed="false">
      <c r="A45" s="6" t="s">
        <v>275</v>
      </c>
      <c r="B45" s="58" t="n">
        <f aca="false">B25</f>
        <v>9900</v>
      </c>
      <c r="C45" s="58" t="n">
        <f aca="false">C25</f>
        <v>9900</v>
      </c>
      <c r="D45" s="58" t="n">
        <f aca="false">D25</f>
        <v>23500</v>
      </c>
      <c r="E45" s="58" t="n">
        <f aca="false">E25</f>
        <v>51500</v>
      </c>
      <c r="F45" s="58" t="n">
        <f aca="false">F25</f>
        <v>119900</v>
      </c>
    </row>
    <row r="46" customFormat="false" ht="15" hidden="false" customHeight="false" outlineLevel="0" collapsed="false">
      <c r="A46" s="6" t="s">
        <v>276</v>
      </c>
      <c r="B46" s="35" t="n">
        <f aca="false">-B22*Себестоимость!$B$29</f>
        <v>-3.45472750740741</v>
      </c>
      <c r="C46" s="35" t="n">
        <f aca="false">-C22*Себестоимость!$B$29</f>
        <v>-13.8189100296296</v>
      </c>
      <c r="D46" s="35" t="n">
        <f aca="false">-D22*Себестоимость!$B$29</f>
        <v>-69.0945501481482</v>
      </c>
      <c r="E46" s="35" t="n">
        <f aca="false">-E22*Себестоимость!$B$29</f>
        <v>-207.283650444444</v>
      </c>
      <c r="F46" s="35" t="n">
        <f aca="false">-F22*Себестоимость!$B$29</f>
        <v>-690.945501481482</v>
      </c>
    </row>
    <row r="47" customFormat="false" ht="15" hidden="false" customHeight="false" outlineLevel="0" collapsed="false">
      <c r="A47" s="6" t="s">
        <v>277</v>
      </c>
      <c r="B47" s="58" t="n">
        <f aca="false">-Допущения_и_данные!$B$56</f>
        <v>-6000</v>
      </c>
      <c r="C47" s="58" t="n">
        <f aca="false">-Допущения_и_данные!$B$56</f>
        <v>-6000</v>
      </c>
      <c r="D47" s="58" t="n">
        <f aca="false">-Допущения_и_данные!$B$56</f>
        <v>-6000</v>
      </c>
      <c r="E47" s="58" t="n">
        <f aca="false">-Допущения_и_данные!$B$56</f>
        <v>-6000</v>
      </c>
      <c r="F47" s="58" t="n">
        <f aca="false">-Допущения_и_данные!$B$56</f>
        <v>-6000</v>
      </c>
    </row>
    <row r="48" customFormat="false" ht="15" hidden="false" customHeight="false" outlineLevel="0" collapsed="false">
      <c r="A48" s="13" t="s">
        <v>278</v>
      </c>
      <c r="B48" s="67" t="n">
        <f aca="false">B45+B46+B47</f>
        <v>3896.54527249259</v>
      </c>
      <c r="C48" s="67" t="n">
        <f aca="false">C45+C46+C47</f>
        <v>3886.18108997037</v>
      </c>
      <c r="D48" s="67" t="n">
        <f aca="false">D45+D46+D47</f>
        <v>17430.9054498519</v>
      </c>
      <c r="E48" s="67" t="n">
        <f aca="false">E45+E46+E47</f>
        <v>45292.7163495556</v>
      </c>
      <c r="F48" s="67" t="n">
        <f aca="false">F45+F46+F47</f>
        <v>113209.054498519</v>
      </c>
    </row>
    <row r="49" customFormat="false" ht="15" hidden="false" customHeight="false" outlineLevel="0" collapsed="false">
      <c r="A49" s="13" t="s">
        <v>279</v>
      </c>
      <c r="B49" s="38" t="n">
        <f aca="false">IFERROR(B48/B45,0)</f>
        <v>0.393590431564908</v>
      </c>
      <c r="C49" s="38" t="n">
        <f aca="false">IFERROR(C48/C45,0)</f>
        <v>0.392543544441452</v>
      </c>
      <c r="D49" s="38" t="n">
        <f aca="false">IFERROR(D48/D45,0)</f>
        <v>0.741740657440504</v>
      </c>
      <c r="E49" s="38" t="n">
        <f aca="false">IFERROR(E48/E45,0)</f>
        <v>0.87947022037972</v>
      </c>
      <c r="F49" s="38" t="n">
        <f aca="false">IFERROR(F48/F45,0)</f>
        <v>0.944195617168628</v>
      </c>
    </row>
    <row r="50" customFormat="false" ht="15" hidden="false" customHeight="false" outlineLevel="0" collapsed="false">
      <c r="A50" s="13" t="s">
        <v>280</v>
      </c>
      <c r="B50" s="44" t="n">
        <f aca="false">IF(B48&lt;=0,"никогда",ROUNDUP(Допущения_и_данные!$B$54/B48,0))</f>
        <v>3</v>
      </c>
      <c r="C50" s="44" t="n">
        <f aca="false">IF(C48&lt;=0,"никогда",ROUNDUP(Допущения_и_данные!$B$54/C48,0))</f>
        <v>3</v>
      </c>
      <c r="D50" s="44" t="n">
        <f aca="false">IF(D48&lt;=0,"никогда",ROUNDUP(Допущения_и_данные!$B$54/D48,0))</f>
        <v>1</v>
      </c>
      <c r="E50" s="44" t="n">
        <f aca="false">IF(E48&lt;=0,"никогда",ROUNDUP(Допущения_и_данные!$B$54/E48,0))</f>
        <v>1</v>
      </c>
      <c r="F50" s="44" t="n">
        <f aca="false">IF(F48&lt;=0,"никогда",ROUNDUP(Допущения_и_данные!$B$54/F48,0))</f>
        <v>1</v>
      </c>
    </row>
    <row r="51" customFormat="false" ht="15" hidden="false" customHeight="false" outlineLevel="0" collapsed="false">
      <c r="A51" s="66" t="s">
        <v>265</v>
      </c>
      <c r="B51" s="4" t="s">
        <v>270</v>
      </c>
      <c r="C51" s="4" t="s">
        <v>271</v>
      </c>
      <c r="D51" s="4" t="s">
        <v>272</v>
      </c>
      <c r="E51" s="4" t="s">
        <v>273</v>
      </c>
      <c r="F51" s="4" t="s">
        <v>274</v>
      </c>
    </row>
    <row r="52" customFormat="false" ht="15" hidden="false" customHeight="false" outlineLevel="0" collapsed="false">
      <c r="A52" s="6" t="s">
        <v>275</v>
      </c>
      <c r="B52" s="58" t="n">
        <f aca="false">B26</f>
        <v>14700</v>
      </c>
      <c r="C52" s="58" t="n">
        <f aca="false">C26</f>
        <v>14700</v>
      </c>
      <c r="D52" s="58" t="n">
        <f aca="false">D26</f>
        <v>14700</v>
      </c>
      <c r="E52" s="58" t="n">
        <f aca="false">E26</f>
        <v>14700</v>
      </c>
      <c r="F52" s="58" t="n">
        <f aca="false">F26</f>
        <v>49000</v>
      </c>
    </row>
    <row r="53" customFormat="false" ht="15" hidden="false" customHeight="false" outlineLevel="0" collapsed="false">
      <c r="A53" s="6" t="s">
        <v>276</v>
      </c>
      <c r="B53" s="35" t="n">
        <f aca="false">-B22*Себестоимость!$B$29</f>
        <v>-3.45472750740741</v>
      </c>
      <c r="C53" s="35" t="n">
        <f aca="false">-C22*Себестоимость!$B$29</f>
        <v>-13.8189100296296</v>
      </c>
      <c r="D53" s="35" t="n">
        <f aca="false">-D22*Себестоимость!$B$29</f>
        <v>-69.0945501481482</v>
      </c>
      <c r="E53" s="35" t="n">
        <f aca="false">-E22*Себестоимость!$B$29</f>
        <v>-207.283650444444</v>
      </c>
      <c r="F53" s="35" t="n">
        <f aca="false">-F22*Себестоимость!$B$29</f>
        <v>-690.945501481482</v>
      </c>
    </row>
    <row r="54" customFormat="false" ht="15" hidden="false" customHeight="false" outlineLevel="0" collapsed="false">
      <c r="A54" s="6" t="s">
        <v>277</v>
      </c>
      <c r="B54" s="58" t="n">
        <f aca="false">-Допущения_и_данные!$B$56</f>
        <v>-6000</v>
      </c>
      <c r="C54" s="58" t="n">
        <f aca="false">-Допущения_и_данные!$B$56</f>
        <v>-6000</v>
      </c>
      <c r="D54" s="58" t="n">
        <f aca="false">-Допущения_и_данные!$B$56</f>
        <v>-6000</v>
      </c>
      <c r="E54" s="58" t="n">
        <f aca="false">-Допущения_и_данные!$B$56</f>
        <v>-6000</v>
      </c>
      <c r="F54" s="58" t="n">
        <f aca="false">-Допущения_и_данные!$B$56</f>
        <v>-6000</v>
      </c>
    </row>
    <row r="55" customFormat="false" ht="15" hidden="false" customHeight="false" outlineLevel="0" collapsed="false">
      <c r="A55" s="13" t="s">
        <v>278</v>
      </c>
      <c r="B55" s="67" t="n">
        <f aca="false">B52+B53+B54</f>
        <v>8696.54527249259</v>
      </c>
      <c r="C55" s="67" t="n">
        <f aca="false">C52+C53+C54</f>
        <v>8686.18108997037</v>
      </c>
      <c r="D55" s="67" t="n">
        <f aca="false">D52+D53+D54</f>
        <v>8630.90544985185</v>
      </c>
      <c r="E55" s="67" t="n">
        <f aca="false">E52+E53+E54</f>
        <v>8492.71634955556</v>
      </c>
      <c r="F55" s="67" t="n">
        <f aca="false">F52+F53+F54</f>
        <v>42309.0544985185</v>
      </c>
    </row>
    <row r="56" customFormat="false" ht="15" hidden="false" customHeight="false" outlineLevel="0" collapsed="false">
      <c r="A56" s="13" t="s">
        <v>279</v>
      </c>
      <c r="B56" s="38" t="n">
        <f aca="false">IFERROR(B55/B52,0)</f>
        <v>0.591601719217183</v>
      </c>
      <c r="C56" s="38" t="n">
        <f aca="false">IFERROR(C55/C52,0)</f>
        <v>0.5908966727871</v>
      </c>
      <c r="D56" s="38" t="n">
        <f aca="false">IFERROR(D55/D52,0)</f>
        <v>0.58713642515999</v>
      </c>
      <c r="E56" s="38" t="n">
        <f aca="false">IFERROR(E55/E52,0)</f>
        <v>0.577735806092215</v>
      </c>
      <c r="F56" s="38" t="n">
        <f aca="false">IFERROR(F55/F52,0)</f>
        <v>0.8634500918065</v>
      </c>
    </row>
    <row r="57" customFormat="false" ht="15" hidden="false" customHeight="false" outlineLevel="0" collapsed="false">
      <c r="A57" s="13" t="s">
        <v>280</v>
      </c>
      <c r="B57" s="44" t="n">
        <f aca="false">IF(B55&lt;=0,"никогда",ROUNDUP(Допущения_и_данные!$B$54/B55,0))</f>
        <v>1</v>
      </c>
      <c r="C57" s="44" t="n">
        <f aca="false">IF(C55&lt;=0,"никогда",ROUNDUP(Допущения_и_данные!$B$54/C55,0))</f>
        <v>1</v>
      </c>
      <c r="D57" s="44" t="n">
        <f aca="false">IF(D55&lt;=0,"никогда",ROUNDUP(Допущения_и_данные!$B$54/D55,0))</f>
        <v>1</v>
      </c>
      <c r="E57" s="44" t="n">
        <f aca="false">IF(E55&lt;=0,"никогда",ROUNDUP(Допущения_и_данные!$B$54/E55,0))</f>
        <v>1</v>
      </c>
      <c r="F57" s="44" t="n">
        <f aca="false">IF(F55&lt;=0,"никогда",ROUNDUP(Допущения_и_данные!$B$54/F55,0))</f>
        <v>1</v>
      </c>
    </row>
    <row r="58" customFormat="false" ht="15" hidden="false" customHeight="false" outlineLevel="0" collapsed="false">
      <c r="A58" s="3" t="s">
        <v>283</v>
      </c>
      <c r="B58" s="3"/>
      <c r="C58" s="3"/>
      <c r="D58" s="3"/>
      <c r="E58" s="3"/>
      <c r="F58" s="3"/>
      <c r="G58" s="3"/>
    </row>
    <row r="59" customFormat="false" ht="15" hidden="false" customHeight="false" outlineLevel="0" collapsed="false">
      <c r="A59" s="4" t="s">
        <v>284</v>
      </c>
      <c r="B59" s="4" t="s">
        <v>269</v>
      </c>
      <c r="C59" s="4" t="s">
        <v>285</v>
      </c>
      <c r="D59" s="4" t="s">
        <v>286</v>
      </c>
      <c r="E59" s="4" t="s">
        <v>287</v>
      </c>
    </row>
    <row r="60" customFormat="false" ht="30" hidden="false" customHeight="true" outlineLevel="0" collapsed="false">
      <c r="A60" s="6" t="s">
        <v>288</v>
      </c>
      <c r="B60" s="67" t="n">
        <f aca="false">B23</f>
        <v>7780</v>
      </c>
      <c r="C60" s="67" t="n">
        <f aca="false">B24</f>
        <v>19900</v>
      </c>
      <c r="D60" s="67" t="n">
        <f aca="false">B25</f>
        <v>9900</v>
      </c>
      <c r="E60" s="67" t="n">
        <f aca="false">B26</f>
        <v>14700</v>
      </c>
      <c r="G60" s="2" t="s">
        <v>289</v>
      </c>
    </row>
    <row r="61" customFormat="false" ht="15" hidden="false" customHeight="false" outlineLevel="0" collapsed="false">
      <c r="A61" s="6" t="s">
        <v>290</v>
      </c>
      <c r="B61" s="67" t="n">
        <f aca="false">F23</f>
        <v>182900</v>
      </c>
      <c r="C61" s="67" t="n">
        <f aca="false">F24</f>
        <v>183900</v>
      </c>
      <c r="D61" s="67" t="n">
        <f aca="false">F25</f>
        <v>119900</v>
      </c>
      <c r="E61" s="67" t="n">
        <f aca="false">F26</f>
        <v>49000</v>
      </c>
    </row>
    <row r="62" customFormat="false" ht="15" hidden="false" customHeight="false" outlineLevel="0" collapsed="false">
      <c r="A62" s="6" t="s">
        <v>291</v>
      </c>
      <c r="B62" s="53" t="n">
        <f aca="false">F23/B23</f>
        <v>23.5089974293059</v>
      </c>
      <c r="C62" s="53" t="n">
        <f aca="false">F24/B24</f>
        <v>9.24120603015075</v>
      </c>
      <c r="D62" s="53" t="n">
        <f aca="false">F25/B25</f>
        <v>12.1111111111111</v>
      </c>
      <c r="E62" s="53" t="n">
        <f aca="false">F26/B26</f>
        <v>3.33333333333333</v>
      </c>
    </row>
    <row r="63" customFormat="false" ht="15" hidden="false" customHeight="false" outlineLevel="0" collapsed="false">
      <c r="A63" s="6" t="s">
        <v>292</v>
      </c>
      <c r="B63" s="68" t="n">
        <f aca="false">B35</f>
        <v>0.228347721400076</v>
      </c>
      <c r="C63" s="68" t="n">
        <f aca="false">B42</f>
        <v>0.698318857914201</v>
      </c>
      <c r="D63" s="68" t="n">
        <f aca="false">B49</f>
        <v>0.393590431564908</v>
      </c>
      <c r="E63" s="68" t="n">
        <f aca="false">B56</f>
        <v>0.591601719217183</v>
      </c>
    </row>
    <row r="64" customFormat="false" ht="15" hidden="false" customHeight="false" outlineLevel="0" collapsed="false">
      <c r="A64" s="6" t="s">
        <v>293</v>
      </c>
      <c r="B64" s="68" t="n">
        <f aca="false">F35</f>
        <v>0.963417465820222</v>
      </c>
      <c r="C64" s="68" t="n">
        <f aca="false">F42</f>
        <v>0.963616392052847</v>
      </c>
      <c r="D64" s="68" t="n">
        <f aca="false">F49</f>
        <v>0.944195617168628</v>
      </c>
      <c r="E64" s="68" t="n">
        <f aca="false">F56</f>
        <v>0.8634500918065</v>
      </c>
    </row>
    <row r="65" customFormat="false" ht="15" hidden="false" customHeight="false" outlineLevel="0" collapsed="false">
      <c r="A65" s="6" t="s">
        <v>294</v>
      </c>
      <c r="B65" s="14" t="n">
        <f aca="false">B36</f>
        <v>5</v>
      </c>
      <c r="C65" s="14" t="n">
        <f aca="false">B43</f>
        <v>1</v>
      </c>
      <c r="D65" s="14" t="n">
        <f aca="false">B50</f>
        <v>3</v>
      </c>
      <c r="E65" s="14" t="n">
        <f aca="false">B57</f>
        <v>1</v>
      </c>
    </row>
    <row r="66" customFormat="false" ht="15" hidden="false" customHeight="false" outlineLevel="0" collapsed="false">
      <c r="A66" s="6" t="s">
        <v>295</v>
      </c>
      <c r="B66" s="68" t="n">
        <f aca="false">B23/B27</f>
        <v>1.76818181818182</v>
      </c>
      <c r="C66" s="68" t="n">
        <f aca="false">B24/B27</f>
        <v>4.52272727272727</v>
      </c>
      <c r="D66" s="68" t="n">
        <f aca="false">B25/B27</f>
        <v>2.25</v>
      </c>
      <c r="E66" s="68" t="n">
        <f aca="false">B26/B27</f>
        <v>3.34090909090909</v>
      </c>
    </row>
    <row r="67" customFormat="false" ht="15" hidden="false" customHeight="false" outlineLevel="0" collapsed="false">
      <c r="A67" s="6" t="s">
        <v>296</v>
      </c>
      <c r="B67" s="68" t="n">
        <f aca="false">F23/F27</f>
        <v>0.207840909090909</v>
      </c>
      <c r="C67" s="68" t="n">
        <f aca="false">F24/F27</f>
        <v>0.208977272727273</v>
      </c>
      <c r="D67" s="68" t="n">
        <f aca="false">F25/F27</f>
        <v>0.13625</v>
      </c>
      <c r="E67" s="68" t="n">
        <f aca="false">F26/F27</f>
        <v>0.0556818181818182</v>
      </c>
    </row>
    <row r="69" customFormat="false" ht="15" hidden="false" customHeight="false" outlineLevel="0" collapsed="false">
      <c r="A69" s="3" t="s">
        <v>297</v>
      </c>
      <c r="B69" s="3"/>
      <c r="C69" s="3"/>
      <c r="D69" s="3"/>
      <c r="E69" s="3"/>
      <c r="F69" s="3"/>
      <c r="G69" s="3"/>
    </row>
    <row r="70" customFormat="false" ht="15" hidden="false" customHeight="false" outlineLevel="0" collapsed="false">
      <c r="A70" s="10" t="s">
        <v>298</v>
      </c>
    </row>
    <row r="71" customFormat="false" ht="30" hidden="false" customHeight="true" outlineLevel="0" collapsed="false">
      <c r="A71" s="4" t="s">
        <v>299</v>
      </c>
      <c r="B71" s="4" t="s">
        <v>300</v>
      </c>
      <c r="C71" s="4" t="s">
        <v>301</v>
      </c>
      <c r="D71" s="4" t="s">
        <v>302</v>
      </c>
    </row>
    <row r="72" customFormat="false" ht="15" hidden="false" customHeight="false" outlineLevel="0" collapsed="false">
      <c r="A72" s="11" t="n">
        <v>1</v>
      </c>
      <c r="B72" s="58" t="n">
        <f aca="false">Допущения_и_данные!$B$54/A72+Допущения_и_данные!$B$56</f>
        <v>14000</v>
      </c>
      <c r="C72" s="44" t="n">
        <f aca="false">B72/Допущения_и_данные!$B$57</f>
        <v>350</v>
      </c>
      <c r="D72" s="63" t="n">
        <f aca="false">C72/Допущения_и_данные!$B$43</f>
        <v>15.9090909090909</v>
      </c>
      <c r="F72" s="2" t="s">
        <v>303</v>
      </c>
    </row>
    <row r="73" customFormat="false" ht="15" hidden="false" customHeight="false" outlineLevel="0" collapsed="false">
      <c r="A73" s="11" t="n">
        <v>2</v>
      </c>
      <c r="B73" s="58" t="n">
        <f aca="false">Допущения_и_данные!$B$54/A73+Допущения_и_данные!$B$56</f>
        <v>10000</v>
      </c>
      <c r="C73" s="44" t="n">
        <f aca="false">B73/Допущения_и_данные!$B$57</f>
        <v>250</v>
      </c>
      <c r="D73" s="63" t="n">
        <f aca="false">C73/Допущения_и_данные!$B$43</f>
        <v>11.3636363636364</v>
      </c>
    </row>
    <row r="74" customFormat="false" ht="15" hidden="false" customHeight="false" outlineLevel="0" collapsed="false">
      <c r="A74" s="11" t="n">
        <v>3</v>
      </c>
      <c r="B74" s="58" t="n">
        <f aca="false">Допущения_и_данные!$B$54/A74+Допущения_и_данные!$B$56</f>
        <v>8666.66666666667</v>
      </c>
      <c r="C74" s="44" t="n">
        <f aca="false">B74/Допущения_и_данные!$B$57</f>
        <v>216.666666666667</v>
      </c>
      <c r="D74" s="63" t="n">
        <f aca="false">C74/Допущения_и_данные!$B$43</f>
        <v>9.84848484848485</v>
      </c>
    </row>
    <row r="75" customFormat="false" ht="15" hidden="false" customHeight="false" outlineLevel="0" collapsed="false">
      <c r="A75" s="11" t="n">
        <v>5</v>
      </c>
      <c r="B75" s="58" t="n">
        <f aca="false">Допущения_и_данные!$B$54/A75+Допущения_и_данные!$B$56</f>
        <v>7600</v>
      </c>
      <c r="C75" s="44" t="n">
        <f aca="false">B75/Допущения_и_данные!$B$57</f>
        <v>190</v>
      </c>
      <c r="D75" s="63" t="n">
        <f aca="false">C75/Допущения_и_данные!$B$43</f>
        <v>8.63636363636364</v>
      </c>
    </row>
    <row r="76" customFormat="false" ht="15" hidden="false" customHeight="false" outlineLevel="0" collapsed="false">
      <c r="A76" s="11" t="n">
        <v>10</v>
      </c>
      <c r="B76" s="58" t="n">
        <f aca="false">Допущения_и_данные!$B$54/A76+Допущения_и_данные!$B$56</f>
        <v>6800</v>
      </c>
      <c r="C76" s="44" t="n">
        <f aca="false">B76/Допущения_и_данные!$B$57</f>
        <v>170</v>
      </c>
      <c r="D76" s="63" t="n">
        <f aca="false">C76/Допущения_и_данные!$B$43</f>
        <v>7.72727272727273</v>
      </c>
    </row>
    <row r="77" customFormat="false" ht="15" hidden="false" customHeight="false" outlineLevel="0" collapsed="false">
      <c r="A77" s="11" t="n">
        <v>20</v>
      </c>
      <c r="B77" s="58" t="n">
        <f aca="false">Допущения_и_данные!$B$54/A77+Допущения_и_данные!$B$56</f>
        <v>6400</v>
      </c>
      <c r="C77" s="44" t="n">
        <f aca="false">B77/Допущения_и_данные!$B$57</f>
        <v>160</v>
      </c>
      <c r="D77" s="63" t="n">
        <f aca="false">C77/Допущения_и_данные!$B$43</f>
        <v>7.27272727272727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32"/>
  </cols>
  <sheetData>
    <row r="1" customFormat="false" ht="16.15" hidden="false" customHeight="false" outlineLevel="0" collapsed="false">
      <c r="B1" s="1" t="s">
        <v>304</v>
      </c>
    </row>
    <row r="3" customFormat="false" ht="19.5" hidden="false" customHeight="true" outlineLevel="0" collapsed="false">
      <c r="A3" s="69"/>
      <c r="B3" s="3" t="s">
        <v>305</v>
      </c>
    </row>
    <row r="4" customFormat="false" ht="36" hidden="false" customHeight="true" outlineLevel="0" collapsed="false">
      <c r="B4" s="70" t="s">
        <v>306</v>
      </c>
    </row>
    <row r="5" customFormat="false" ht="36" hidden="false" customHeight="true" outlineLevel="0" collapsed="false">
      <c r="B5" s="70" t="s">
        <v>307</v>
      </c>
    </row>
    <row r="6" customFormat="false" ht="51" hidden="false" customHeight="true" outlineLevel="0" collapsed="false">
      <c r="B6" s="70" t="s">
        <v>308</v>
      </c>
    </row>
    <row r="7" customFormat="false" ht="36" hidden="false" customHeight="true" outlineLevel="0" collapsed="false">
      <c r="B7" s="70" t="s">
        <v>309</v>
      </c>
    </row>
    <row r="8" customFormat="false" ht="19.5" hidden="false" customHeight="true" outlineLevel="0" collapsed="false">
      <c r="A8" s="69"/>
      <c r="B8" s="3" t="s">
        <v>310</v>
      </c>
    </row>
    <row r="9" customFormat="false" ht="51" hidden="false" customHeight="true" outlineLevel="0" collapsed="false">
      <c r="B9" s="70" t="s">
        <v>311</v>
      </c>
    </row>
    <row r="10" customFormat="false" ht="36" hidden="false" customHeight="true" outlineLevel="0" collapsed="false">
      <c r="B10" s="70" t="s">
        <v>312</v>
      </c>
    </row>
    <row r="11" customFormat="false" ht="19.5" hidden="false" customHeight="true" outlineLevel="0" collapsed="false">
      <c r="A11" s="69"/>
      <c r="B11" s="3" t="s">
        <v>313</v>
      </c>
    </row>
    <row r="12" customFormat="false" ht="36" hidden="false" customHeight="true" outlineLevel="0" collapsed="false">
      <c r="B12" s="70" t="s">
        <v>314</v>
      </c>
    </row>
    <row r="13" customFormat="false" ht="51" hidden="false" customHeight="true" outlineLevel="0" collapsed="false">
      <c r="B13" s="70" t="s">
        <v>315</v>
      </c>
    </row>
    <row r="14" customFormat="false" ht="19.5" hidden="false" customHeight="true" outlineLevel="0" collapsed="false">
      <c r="A14" s="69"/>
      <c r="B14" s="3" t="s">
        <v>316</v>
      </c>
    </row>
    <row r="15" customFormat="false" ht="51" hidden="false" customHeight="true" outlineLevel="0" collapsed="false">
      <c r="B15" s="70" t="s">
        <v>317</v>
      </c>
    </row>
    <row r="16" customFormat="false" ht="51" hidden="false" customHeight="true" outlineLevel="0" collapsed="false">
      <c r="B16" s="70" t="s">
        <v>318</v>
      </c>
    </row>
    <row r="17" customFormat="false" ht="36" hidden="false" customHeight="true" outlineLevel="0" collapsed="false">
      <c r="B17" s="70" t="s">
        <v>319</v>
      </c>
    </row>
    <row r="18" customFormat="false" ht="19.5" hidden="false" customHeight="true" outlineLevel="0" collapsed="false">
      <c r="A18" s="69"/>
      <c r="B18" s="3" t="s">
        <v>320</v>
      </c>
    </row>
    <row r="19" customFormat="false" ht="51" hidden="false" customHeight="true" outlineLevel="0" collapsed="false">
      <c r="B19" s="70" t="s">
        <v>321</v>
      </c>
    </row>
    <row r="20" customFormat="false" ht="51" hidden="false" customHeight="true" outlineLevel="0" collapsed="false">
      <c r="B20" s="70" t="s">
        <v>322</v>
      </c>
    </row>
    <row r="21" customFormat="false" ht="36" hidden="false" customHeight="true" outlineLevel="0" collapsed="false">
      <c r="B21" s="70" t="s">
        <v>323</v>
      </c>
    </row>
    <row r="22" customFormat="false" ht="19.5" hidden="false" customHeight="true" outlineLevel="0" collapsed="false">
      <c r="A22" s="69"/>
      <c r="B22" s="3" t="s">
        <v>324</v>
      </c>
    </row>
    <row r="23" customFormat="false" ht="36" hidden="false" customHeight="true" outlineLevel="0" collapsed="false">
      <c r="B23" s="70" t="s">
        <v>325</v>
      </c>
    </row>
    <row r="24" customFormat="false" ht="66" hidden="false" customHeight="true" outlineLevel="0" collapsed="false">
      <c r="B24" s="70" t="s">
        <v>326</v>
      </c>
    </row>
    <row r="25" customFormat="false" ht="51" hidden="false" customHeight="true" outlineLevel="0" collapsed="false">
      <c r="B25" s="70" t="s">
        <v>327</v>
      </c>
    </row>
    <row r="26" customFormat="false" ht="66" hidden="false" customHeight="true" outlineLevel="0" collapsed="false">
      <c r="B26" s="70" t="s">
        <v>328</v>
      </c>
    </row>
    <row r="27" customFormat="false" ht="51" hidden="false" customHeight="true" outlineLevel="0" collapsed="false">
      <c r="B27" s="70" t="s">
        <v>329</v>
      </c>
    </row>
    <row r="28" customFormat="false" ht="19.5" hidden="false" customHeight="true" outlineLevel="0" collapsed="false">
      <c r="A28" s="69"/>
      <c r="B28" s="3" t="s">
        <v>330</v>
      </c>
    </row>
    <row r="29" customFormat="false" ht="66" hidden="false" customHeight="true" outlineLevel="0" collapsed="false">
      <c r="B29" s="70" t="s">
        <v>331</v>
      </c>
    </row>
    <row r="30" customFormat="false" ht="19.5" hidden="false" customHeight="true" outlineLevel="0" collapsed="false">
      <c r="A30" s="69"/>
      <c r="B30" s="3" t="s">
        <v>332</v>
      </c>
    </row>
    <row r="31" customFormat="false" ht="51" hidden="false" customHeight="true" outlineLevel="0" collapsed="false">
      <c r="B31" s="70" t="s">
        <v>333</v>
      </c>
    </row>
    <row r="32" customFormat="false" ht="36" hidden="false" customHeight="true" outlineLevel="0" collapsed="false">
      <c r="B32" s="70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2026-08-12T15:20:02Z</dcterms:created>
  <dc:creator>openpyxl</dc:creator>
  <dc:description/>
  <dc:language>en-US</dc:language>
  <cp:lastModifiedBy/>
  <dcterms:modified xsi:type="dcterms:W3CDTF">2026-08-12T15:20:02Z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