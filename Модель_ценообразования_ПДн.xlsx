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пущения" sheetId="1" state="visible" r:id="rId3"/>
    <sheet name="Юнит_экономика" sheetId="2" state="visible" r:id="rId4"/>
    <sheet name="Порог_цены" sheetId="3" state="visible" r:id="rId5"/>
    <sheet name="PL_12мес" sheetId="4" state="visible" r:id="rId6"/>
    <sheet name="Безубыточность" sheetId="5" state="visible" r:id="rId7"/>
    <sheet name="Чувствительность" sheetId="6" state="visible" r:id="rId8"/>
    <sheet name="Рекомендация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<sst xmlns="http://schemas.openxmlformats.org/spreadsheetml/2006/main" count="420" uniqueCount="297">
  <si>
    <t xml:space="preserve">МОДЕЛЬ ЦЕНООБРАЗОВАНИЯ — B2B SaaS анонимизации персональных данных в документах</t>
  </si>
  <si>
    <t xml:space="preserve">Управленческий P&amp;L. Все суммы в рублях без НДС. Стандарт GAAP/МСФО не применяется — это внутренняя модель принятия решения о цене.</t>
  </si>
  <si>
    <t xml:space="preserve">СИНИЙ = ввод (можно менять) · ЧЁРНЫЙ = формула · ЗЕЛЁНЫЙ = ссылка на другой лист · ЖЁЛТАЯ ЗАЛИВКА = допущение, требующее вашего подтверждения</t>
  </si>
  <si>
    <t xml:space="preserve">1. ПЕРЕМЕННЫЕ РАСХОДЫ — ИЗМЕРЕНЫ ПРОГОНОМ РЕАЛЬНЫХ ДОКУМЕНТОВ, НЕ ДОПУЩЕНИЕ</t>
  </si>
  <si>
    <t xml:space="preserve">Стоимость страницы (1 800 знаков), текущая модель</t>
  </si>
  <si>
    <t xml:space="preserve">ИЗМЕРЕНО</t>
  </si>
  <si>
    <t xml:space="preserve">Ваши данные.</t>
  </si>
  <si>
    <t xml:space="preserve">Стоимость страницы, дешёвая модель + кэш</t>
  </si>
  <si>
    <t xml:space="preserve">Ваши данные. Планируемый переход.</t>
  </si>
  <si>
    <t xml:space="preserve">СТАВКА, ПРИМЕНЯЕМАЯ В МОДЕЛИ (вариант Б)</t>
  </si>
  <si>
    <t xml:space="preserve">ПЕРЕКЛЮЧАТЕЛЬ</t>
  </si>
  <si>
    <t xml:space="preserve">Поставьте =B6, чтобы посчитать на текущей модели вместо дешёвой.</t>
  </si>
  <si>
    <t xml:space="preserve">Контроль замеров: ложатся ли три документа на одну прямую?</t>
  </si>
  <si>
    <t xml:space="preserve">Документ</t>
  </si>
  <si>
    <t xml:space="preserve">Страниц</t>
  </si>
  <si>
    <t xml:space="preserve">Расход, ₽</t>
  </si>
  <si>
    <t xml:space="preserve">Руб/страница</t>
  </si>
  <si>
    <t xml:space="preserve">Короткий</t>
  </si>
  <si>
    <t xml:space="preserve">Средний</t>
  </si>
  <si>
    <t xml:space="preserve">Длинный</t>
  </si>
  <si>
    <t xml:space="preserve">ВЫВОД по замерам</t>
  </si>
  <si>
    <t xml:space="preserve">Три точки НЕ ложатся на прямую: 0.136 / 0.072 / 0.084 ₽/стр. Средний документ дешевле короткого и длинного в пересчёте на страницу, чего не даёт ни одна модель вида «надбавка на документ + линейная часть». МНК по трём точкам даёт свободный член ≈0.002 ₽, то есть надбавку на документ по этим данным оценить нельзя. В модели принята чистая линейная ставка. Это безопасно: переменные расходы составляют менее 0.2% выручки, и ошибка даже в 2 раза ничего не меняет.</t>
  </si>
  <si>
    <t xml:space="preserve">2. ПОСТОЯННЫЕ РАСХОДЫ — ДВА ВЗАИМОИСКЛЮЧАЮЩИХ ВАРИАНТА</t>
  </si>
  <si>
    <t xml:space="preserve">Вариант А: фиксированная плата за доступ к модели, ₽/мес</t>
  </si>
  <si>
    <t xml:space="preserve">ДАНО</t>
  </si>
  <si>
    <t xml:space="preserve">Вариант А: сервер и домен, ₽/мес</t>
  </si>
  <si>
    <t xml:space="preserve">ВАРИАНТ А — ИТОГО ПОСТОЯННЫХ, ₽/мес</t>
  </si>
  <si>
    <t xml:space="preserve">Вариант А: переменная ставка за страницу, ₽/стр</t>
  </si>
  <si>
    <t xml:space="preserve">ВЫВЕДЕНО</t>
  </si>
  <si>
    <t xml:space="preserve">Плата за модель фиксированная, поэтому до порога токены не тарифицируются отдельно — предельные расходы на страницу равны нулю.</t>
  </si>
  <si>
    <t xml:space="preserve">ВАРИАНТ Б — ИТОГО ПОСТОЯННЫХ, ₽/мес (токены поштучно + свой сервер распознавания имён)</t>
  </si>
  <si>
    <t xml:space="preserve">«Около 8 000» — принято как точное значение.</t>
  </si>
  <si>
    <t xml:space="preserve">Вариант Б: переменная ставка за страницу, ₽/стр</t>
  </si>
  <si>
    <t xml:space="preserve">Порог, где А дешевле Б, стр/мес</t>
  </si>
  <si>
    <t xml:space="preserve">Проверка порога: плата за модель / ставка текущей модели</t>
  </si>
  <si>
    <t xml:space="preserve">Даёт 361 446 стр. Сходится с вашими 361 000 — значит порог считался против ТЕКУЩЕЙ модели (0.083 ₽/стр). На дешёвой модели порог уезжает до 30 000/0.031 = 967 742 стр/мес. Вариант А становится ещё безнадёжнее.</t>
  </si>
  <si>
    <t xml:space="preserve">3. ПОДДЕРЖКА И СТОИМОСТЬ СВОЕГО ВРЕМЕНИ — ГЛАВНЫЙ БЛОК ДОПУЩЕНИЙ</t>
  </si>
  <si>
    <t xml:space="preserve">Стоимость часа своего времени, ₽/час</t>
  </si>
  <si>
    <t xml:space="preserve">ДОПУЩЕНИЕ</t>
  </si>
  <si>
    <t xml:space="preserve">ДОПУЩЕНИЕ. Задано вами, но не проверено: это не расход кассы, а альтернативная стоимость. Подтвердите или замените.</t>
  </si>
  <si>
    <t xml:space="preserve">Часов поддержки на клиента в месяц — минимум</t>
  </si>
  <si>
    <t xml:space="preserve">ДАНО (ваш диапазон 2–4 часа).</t>
  </si>
  <si>
    <t xml:space="preserve">Часов поддержки на клиента в месяц — БАЗА</t>
  </si>
  <si>
    <t xml:space="preserve">ДОПУЩЕНИЕ: взята середина вашего диапазона 2–4. Статистики нет.</t>
  </si>
  <si>
    <t xml:space="preserve">Часов поддержки на клиента в месяц — максимум</t>
  </si>
  <si>
    <t xml:space="preserve">Часов поддержки при ограниченном SLA (только почта, ответ 1 раб. день)</t>
  </si>
  <si>
    <t xml:space="preserve">ДОПУЩЕНИЕ, ничем не подтверждено. На нём держится вся экономика дешёвого входного тарифа — проверьте его первым.</t>
  </si>
  <si>
    <t xml:space="preserve">Стоимость поддержки на клиента, база (3 ч), ₽/мес</t>
  </si>
  <si>
    <t xml:space="preserve">Стоимость поддержки при ограниченном SLA (1 ч), ₽/мес</t>
  </si>
  <si>
    <t xml:space="preserve">4. АЛЬТЕРНАТИВА КЛИЕНТА — РУЧНАЯ ВЫЧИТКА</t>
  </si>
  <si>
    <t xml:space="preserve">Стоимость рабочего времени за страницу — нижняя граница, ₽/стр</t>
  </si>
  <si>
    <t xml:space="preserve">Стоимость рабочего времени за страницу — верхняя граница, ₽/стр</t>
  </si>
  <si>
    <t xml:space="preserve">Середина диапазона, ₽/стр</t>
  </si>
  <si>
    <t xml:space="preserve">Целевая доля от альтернативы (какую часть ручных расходов клиент готов платить)</t>
  </si>
  <si>
    <t xml:space="preserve">ДОПУЩЕНИЕ. Правило «дешевле втрое» — типовой порог, при котором замена ручного процесса не требует отдельного обоснования. Рыночных данных у нас нет, число не подтверждено. Меняйте.</t>
  </si>
  <si>
    <t xml:space="preserve">Целевая эффективная цена, ₽/стр</t>
  </si>
  <si>
    <t xml:space="preserve">5. ПРОЧИЕ ДОПУЩЕНИЯ — ВСЕ ТРЕБУЮТ ПОДТВЕРЖДЕНИЯ</t>
  </si>
  <si>
    <t xml:space="preserve">Отток клиентов, % в месяц</t>
  </si>
  <si>
    <t xml:space="preserve">ДОПУЩЕНИЕ: оттока нет. Заведомо оптимистично для пилотных клиентов.</t>
  </si>
  <si>
    <t xml:space="preserve">Расходы на продажи и маркетинг, ₽/мес</t>
  </si>
  <si>
    <t xml:space="preserve">ДОПУЩЕНИЕ: продажи идут вашими руками и учтены только через стоимость часа.</t>
  </si>
  <si>
    <t xml:space="preserve">Налоги, ₽/мес</t>
  </si>
  <si>
    <t xml:space="preserve">ДОПУЩЕНИЕ: не моделируются. Управленческий P&amp;L, суммы без НДС.</t>
  </si>
  <si>
    <t xml:space="preserve">Доля квоты, которую клиент фактически выбирает</t>
  </si>
  <si>
    <t xml:space="preserve">ДОПУЩЕНИЕ: клиент выбирает квоту полностью. Статистики использования нет вообще — сбор только запускается. Это самое хрупкое число в модели: если клиенты выбирают 20% квоты, ценность для них падает втрое.</t>
  </si>
  <si>
    <t xml:space="preserve">Разовые платежи за внедрение, ₽</t>
  </si>
  <si>
    <t xml:space="preserve">ДОПУЩЕНИЕ: во входных тарифах внедрения нет.</t>
  </si>
  <si>
    <t xml:space="preserve">Задержка оплаты, мес</t>
  </si>
  <si>
    <t xml:space="preserve">ДОПУЩЕНИЕ: предоплата в месяц оказания услуги.</t>
  </si>
  <si>
    <t xml:space="preserve">6. ЁМКОСТЬ — ОГРАНИЧЕНИЕ СВЕРХУ, НЕ РАСХОД</t>
  </si>
  <si>
    <t xml:space="preserve">Документов по 30 страниц в час</t>
  </si>
  <si>
    <t xml:space="preserve">Страниц в час</t>
  </si>
  <si>
    <t xml:space="preserve">Рабочих часов в месяце для расчёта ёмкости</t>
  </si>
  <si>
    <t xml:space="preserve">ДОПУЩЕНИЕ: 8 ч × 22 дня. Сервис технически может работать круглосуточно (730 ч → ~3.0 млн стр/мес).</t>
  </si>
  <si>
    <t xml:space="preserve">ЁМКОСТЬ, стр/мес</t>
  </si>
  <si>
    <t xml:space="preserve">Активных пользователей в устойчивом режиме</t>
  </si>
  <si>
    <t xml:space="preserve">20–34</t>
  </si>
  <si>
    <t xml:space="preserve">Вывод</t>
  </si>
  <si>
    <t xml:space="preserve">Ёмкости хватает на десятки клиентов. Узкое место экономики — не мощность и не токены, а ваши часы поддержки.</t>
  </si>
  <si>
    <t xml:space="preserve">ЮНИТ-ЭКОНОМИКА НА ОДНОГО КЛИЕНТА В МЕСЯЦ</t>
  </si>
  <si>
    <t xml:space="preserve">Столбцы B–E — конструкции ВХОДНОГО тарифа. F–G — верхние тарифы, справочно.</t>
  </si>
  <si>
    <t xml:space="preserve">Показатель</t>
  </si>
  <si>
    <t xml:space="preserve">Т1. Пилот
19 900 ₽ / 500 стр
(текущий)</t>
  </si>
  <si>
    <t xml:space="preserve">Т1-мод. Пилот
19 900 ₽ / 1 500 стр
(та же цена, квота ×3)</t>
  </si>
  <si>
    <t xml:space="preserve">Т2. Подписка
9 900 ₽ / 750 стр
ограниченный SLA</t>
  </si>
  <si>
    <t xml:space="preserve">Т3. Без подписки
12 ₽/стр, мин. чек 9 900 ₽
ограниченный SLA</t>
  </si>
  <si>
    <t xml:space="preserve">Бизнес
49 000 ₽ / 3 000 стр
(справочно)</t>
  </si>
  <si>
    <t xml:space="preserve">Корпоратив
149 000 ₽ / 20 000 стр
(справочно)</t>
  </si>
  <si>
    <t xml:space="preserve">Комментарий</t>
  </si>
  <si>
    <t xml:space="preserve">Абонентская плата, ₽/мес</t>
  </si>
  <si>
    <t xml:space="preserve">Т3 не имеет абонплаты — только минимальный чек.</t>
  </si>
  <si>
    <t xml:space="preserve">Включённая квота, стр/мес</t>
  </si>
  <si>
    <t xml:space="preserve">Квота — бесплатный параметр: 1 000 лишних страниц стоят 31 ₽ токенов.</t>
  </si>
  <si>
    <t xml:space="preserve">Цена сверх квоты, ₽/стр</t>
  </si>
  <si>
    <t xml:space="preserve">Т2/Т3 — предложенные цифры, ДОПУЩЕНИЕ.</t>
  </si>
  <si>
    <t xml:space="preserve">Минимальный месячный чек, ₽</t>
  </si>
  <si>
    <t xml:space="preserve">Пол выручки на клиента.</t>
  </si>
  <si>
    <t xml:space="preserve">Часов поддержки в месяц</t>
  </si>
  <si>
    <t xml:space="preserve">Ссылка на лист «Допущения». Т2 и Т3 держатся на ограниченном SLA в 1 час.</t>
  </si>
  <si>
    <t xml:space="preserve">Фактическое потребление, стр/мес</t>
  </si>
  <si>
    <t xml:space="preserve">ДОПУЩЕНИЕ: клиент выбирает квоту полностью (лист «Допущения», строка 47). Для Т3 — эквивалент минимального чека.</t>
  </si>
  <si>
    <t xml:space="preserve">ВЫРУЧКА, ₽/мес</t>
  </si>
  <si>
    <t xml:space="preserve">Эффективная цена, ₽/стр</t>
  </si>
  <si>
    <t xml:space="preserve">Ключевая цифра для разговора с клиентом.</t>
  </si>
  <si>
    <t xml:space="preserve">ВАРИАНТ Б — постоянные 8 000 ₽/мес, токены поштучно</t>
  </si>
  <si>
    <t xml:space="preserve">Токены, ₽/мес</t>
  </si>
  <si>
    <t xml:space="preserve">Меньше 0.2% выручки на любом тарифе. Переменные расходы в этой модели не являются фактором.</t>
  </si>
  <si>
    <t xml:space="preserve">Поддержка — своё время, ₽/мес</t>
  </si>
  <si>
    <t xml:space="preserve">ЭТО и есть реальный переменный расход. Он в 200–400 раз больше токенов.</t>
  </si>
  <si>
    <t xml:space="preserve">Итого прямые расходы на клиента, ₽/мес</t>
  </si>
  <si>
    <t xml:space="preserve">Валовая маржа ПОЛНАЯ (со своим временем), ₽</t>
  </si>
  <si>
    <t xml:space="preserve">Валовая маржа ПОЛНАЯ, %</t>
  </si>
  <si>
    <t xml:space="preserve">Валовая маржа ДЕНЕЖНАЯ (без своего времени), ₽</t>
  </si>
  <si>
    <t xml:space="preserve">Валовая маржа ДЕНЕЖНАЯ, %</t>
  </si>
  <si>
    <t xml:space="preserve">Практически 100% на любом тарифе — кассово продукт почти без себестоимости.</t>
  </si>
  <si>
    <t xml:space="preserve">ВАРИАНТ А — постоянные 35 000 ₽/мес, токены внутри фиксированной платы</t>
  </si>
  <si>
    <t xml:space="preserve">Ноль: плата за модель фиксированная.</t>
  </si>
  <si>
    <t xml:space="preserve">Валовая маржа ПОЛНАЯ, ₽</t>
  </si>
  <si>
    <t xml:space="preserve">Выше, чем в варианте Б, ровно на стоимость токенов — то есть на копейки. Вся разница вариантов сидит в постоянных расходах.</t>
  </si>
  <si>
    <t xml:space="preserve">ЦЕННОСТЬ ДЛЯ КЛИЕНТА — СРАВНЕНИЕ С РУЧНОЙ ВЫЧИТКОЙ</t>
  </si>
  <si>
    <t xml:space="preserve">Альтернатива клиента (ручная вычитка), ₽/мес</t>
  </si>
  <si>
    <t xml:space="preserve">Потребление × середина диапазона 20–60 ₽/стр.</t>
  </si>
  <si>
    <t xml:space="preserve">Экономия клиента, ₽/мес</t>
  </si>
  <si>
    <t xml:space="preserve">Во сколько раз дешевле ручного труда</t>
  </si>
  <si>
    <t xml:space="preserve">Вердикт по ценности</t>
  </si>
  <si>
    <t xml:space="preserve">Порог «дешевле втрое» задан на листе «Допущения», строка 40 — это ДОПУЩЕНИЕ.</t>
  </si>
  <si>
    <t xml:space="preserve">Экономия клиента при нижней границе ручного труда (20 ₽/стр), ₽</t>
  </si>
  <si>
    <t xml:space="preserve">Худший для нас случай: у клиента дешёвый персонал. Отрицательное значение = продавать нечего.</t>
  </si>
  <si>
    <t xml:space="preserve">ЧТО ЗДЕСЬ ВИДНО</t>
  </si>
  <si>
    <t xml:space="preserve">1. Т1 (Пилот 19 900 / 500 стр) даёт эффективную цену 39.8 ₽/стр — это ровно середина диапазона ручной вычитки (20–60 ₽). Клиент не экономит ничего. Проблема тарифа не в абсолютной цене, а в квоте.</t>
  </si>
  <si>
    <t xml:space="preserve">2. Та же цена 19 900 ₽ с квотой 1 500 стр даёт 13.3 ₽/стр — втрое дешевле ручного труда. Изменение квоты стоит нам 31 ₽ токенов в месяц. Квота — самый дешёвый рычаг в этой модели.</t>
  </si>
  <si>
    <t xml:space="preserve">3. Валовая маржа во всех конструкциях 60–100%. Экономику определяют не расходы, а способность клиента заплатить и ваши часы.</t>
  </si>
  <si>
    <t xml:space="preserve">МИНИМАЛЬНАЯ ЦЕНА ВХОДНОГО ТАРИФА — ГЛАВНЫЙ ВОПРОС</t>
  </si>
  <si>
    <t xml:space="preserve">Какую минимальную абонплату мы можем себе позволить, чтобы бизнес выходил в ноль. Вариант постоянных расходов Б (8 000 ₽/мес).</t>
  </si>
  <si>
    <t xml:space="preserve">Потребление на клиента для этого расчёта, стр/мес</t>
  </si>
  <si>
    <t xml:space="preserve">Токены при 500 стр = 15.50 ₽. На результат влияния не оказывает.</t>
  </si>
  <si>
    <t xml:space="preserve">Клиентов
одновременно</t>
  </si>
  <si>
    <t xml:space="preserve">Вариант Б
1 ч поддержки</t>
  </si>
  <si>
    <t xml:space="preserve">Вариант Б
2 ч поддержки</t>
  </si>
  <si>
    <t xml:space="preserve">Вариант Б
3 ч поддержки (база)</t>
  </si>
  <si>
    <t xml:space="preserve">Вариант Б
4 ч поддержки</t>
  </si>
  <si>
    <t xml:space="preserve">Вариант А
3 ч поддержки</t>
  </si>
  <si>
    <t xml:space="preserve">Вариант Б, 3 ч
только касса</t>
  </si>
  <si>
    <t xml:space="preserve">Один пилотный клиент должен окупить ВСЁ.</t>
  </si>
  <si>
    <t xml:space="preserve">Устойчивый режим.</t>
  </si>
  <si>
    <t xml:space="preserve">КАК ЧИТАТЬ ТАБЛИЦУ</t>
  </si>
  <si>
    <t xml:space="preserve">Каждая ячейка — минимальная абонплата на клиента, при которой вы выходите ровно в ноль: постоянные расходы делятся на число клиентов, плюс ваша поддержка этого клиента, плюс его токены.</t>
  </si>
  <si>
    <t xml:space="preserve">Столбцы B–E: своё время считается расходом (полная окупаемость). Столбец G: своё время не считается — это чистая касса. Разрыв между D и G (6 000 ₽) — цена ваших трёх часов.</t>
  </si>
  <si>
    <t xml:space="preserve">Столбец F показывает, во что обходится вариант А: при одном клиенте порог 41 000 ₽ против 14 016 ₽ у варианта Б. Вариант А на входных объёмах нежизнеспособен, ваш вывод подтверждается с большим запасом.</t>
  </si>
  <si>
    <t xml:space="preserve">ГЛАВНЫЙ ОТВЕТ: при варианте Б и ОДНОМ клиенте абсолютный пол — 10 016 ₽/мес при 1 часе поддержки, 14 016 ₽ при 3 часах, 16 016 ₽ при 4 часах. Кассовый пол (без учёта своего времени) — 8 016 ₽/мес.</t>
  </si>
  <si>
    <t xml:space="preserve">Отсюда: 19 900 ₽ НЕ является завышенной ценой с точки зрения расходов — она всего в 1.2–2.0 раза выше порога окупаемости. Пространство для снижения есть, но оно узкое и целиком съедается часами поддержки.</t>
  </si>
  <si>
    <t xml:space="preserve">P&amp;L НА 12 МЕСЯЦЕВ — 3 СЦЕНАРИЯ × 2 ВАРИАНТА ПОСТОЯННЫХ РАСХОДОВ</t>
  </si>
  <si>
    <t xml:space="preserve">Постепенный разгон: клиенты подключаются в течение года. Строка «Клиентов» — синяя, меняйте свободно.</t>
  </si>
  <si>
    <t xml:space="preserve">ТАРИФ ДЛЯ РАСЧЁТА (1=Пилот 19900/500 · 2=19900/1500 · 3=9900/750 · 4=без подписки · 5=Бизнес · 6=Корпоратив)</t>
  </si>
  <si>
    <t xml:space="preserve">Переключатель. По умолчанию 3 — рекомендуемый входной тариф.</t>
  </si>
  <si>
    <t xml:space="preserve">Выручка на клиента, ₽/мес</t>
  </si>
  <si>
    <t xml:space="preserve">Токены на клиента (вариант Б), ₽/мес</t>
  </si>
  <si>
    <t xml:space="preserve">Поддержка на клиента (своё время), ₽/мес</t>
  </si>
  <si>
    <t xml:space="preserve">СЦЕНАРИЙ 1 — ПЕССИМИСТИЧНЫЙ: 2 клиента к 12-му месяцу</t>
  </si>
  <si>
    <t xml:space="preserve">График подключения — ДОПУЩЕНИЕ. Данных о конверсии и спросе нет.</t>
  </si>
  <si>
    <t xml:space="preserve">Месяц</t>
  </si>
  <si>
    <t xml:space="preserve">М1</t>
  </si>
  <si>
    <t xml:space="preserve">М2</t>
  </si>
  <si>
    <t xml:space="preserve">М3</t>
  </si>
  <si>
    <t xml:space="preserve">М4</t>
  </si>
  <si>
    <t xml:space="preserve">М5</t>
  </si>
  <si>
    <t xml:space="preserve">М6</t>
  </si>
  <si>
    <t xml:space="preserve">М7</t>
  </si>
  <si>
    <t xml:space="preserve">М8</t>
  </si>
  <si>
    <t xml:space="preserve">М9</t>
  </si>
  <si>
    <t xml:space="preserve">М10</t>
  </si>
  <si>
    <t xml:space="preserve">М11</t>
  </si>
  <si>
    <t xml:space="preserve">М12</t>
  </si>
  <si>
    <t xml:space="preserve">ИТОГО за год</t>
  </si>
  <si>
    <t xml:space="preserve">Клиентов на конец месяца</t>
  </si>
  <si>
    <t xml:space="preserve">Синие ячейки — ваш ввод.</t>
  </si>
  <si>
    <t xml:space="preserve">Выручка</t>
  </si>
  <si>
    <t xml:space="preserve">Токены (вариант Б)</t>
  </si>
  <si>
    <t xml:space="preserve">Постоянные расходы, вариант Б</t>
  </si>
  <si>
    <t xml:space="preserve">Продажи и маркетинг</t>
  </si>
  <si>
    <t xml:space="preserve">EBITDA ДЕНЕЖНАЯ, вариант Б</t>
  </si>
  <si>
    <t xml:space="preserve">Своё время на поддержку</t>
  </si>
  <si>
    <t xml:space="preserve">EBITDA ПОЛНАЯ, вариант Б</t>
  </si>
  <si>
    <t xml:space="preserve">Накопленная EBITDA полная, вариант Б</t>
  </si>
  <si>
    <t xml:space="preserve">Токены (вариант А)</t>
  </si>
  <si>
    <t xml:space="preserve">Постоянные расходы, вариант А</t>
  </si>
  <si>
    <t xml:space="preserve">EBITDA ДЕНЕЖНАЯ, вариант А</t>
  </si>
  <si>
    <t xml:space="preserve">EBITDA ПОЛНАЯ, вариант А</t>
  </si>
  <si>
    <t xml:space="preserve">Накопленная EBITDA полная, вариант А</t>
  </si>
  <si>
    <t xml:space="preserve">Разница Б минус А, ₽</t>
  </si>
  <si>
    <t xml:space="preserve">Месяц выхода в плюс (полная EBITDA, вариант Б)</t>
  </si>
  <si>
    <t xml:space="preserve">Месяц выхода в плюс (полная EBITDA, вариант А)</t>
  </si>
  <si>
    <t xml:space="preserve">Формула опирается на то, что число клиентов только растёт (оттока в модели нет).</t>
  </si>
  <si>
    <t xml:space="preserve">СЦЕНАРИЙ 2 — БАЗОВЫЙ: 4 клиента к 12-му месяцу</t>
  </si>
  <si>
    <t xml:space="preserve">СЦЕНАРИЙ 3 — ОПТИМИСТИЧНЫЙ: 10 клиентов к 12-му месяцу</t>
  </si>
  <si>
    <t xml:space="preserve">ТОЧКА БЕЗУБЫТОЧНОСТИ В ЧИСЛЕ КЛИЕНТОВ</t>
  </si>
  <si>
    <t xml:space="preserve">Сколько клиентов нужно, чтобы покрыть постоянные расходы. От сценария не зависит — сценарий отвечает лишь на вопрос, дойдём ли мы до этого числа.</t>
  </si>
  <si>
    <t xml:space="preserve">Тариф</t>
  </si>
  <si>
    <t xml:space="preserve">Выручка
/клиент</t>
  </si>
  <si>
    <t xml:space="preserve">Токены
/клиент</t>
  </si>
  <si>
    <t xml:space="preserve">Поддержка
/клиент</t>
  </si>
  <si>
    <t xml:space="preserve">Вклад ПОЛНЫЙ
вар. Б</t>
  </si>
  <si>
    <t xml:space="preserve">Клиентов
вар. Б полная</t>
  </si>
  <si>
    <t xml:space="preserve">Вклад ДЕНЕЖНЫЙ
вар. Б</t>
  </si>
  <si>
    <t xml:space="preserve">Клиентов
вар. Б касса</t>
  </si>
  <si>
    <t xml:space="preserve">Вклад ПОЛНЫЙ
вар. А</t>
  </si>
  <si>
    <t xml:space="preserve">Клиентов
вар. А полная</t>
  </si>
  <si>
    <t xml:space="preserve">Т1. Пилот 19 900 / 500</t>
  </si>
  <si>
    <t xml:space="preserve">Текущее предложение.</t>
  </si>
  <si>
    <t xml:space="preserve">Т1-мод. 19 900 / 1 500</t>
  </si>
  <si>
    <t xml:space="preserve">Та же цена, квота ×3.</t>
  </si>
  <si>
    <t xml:space="preserve">Т2. 9 900 / 750, SLA 1 ч</t>
  </si>
  <si>
    <t xml:space="preserve">РЕКОМЕНДУЕТСЯ.</t>
  </si>
  <si>
    <t xml:space="preserve">Т3. Без подписки, мин. чек 9 900</t>
  </si>
  <si>
    <t xml:space="preserve">Понятен клиенту, но выручка непредсказуема.</t>
  </si>
  <si>
    <t xml:space="preserve">Бизнес 49 000 / 3 000</t>
  </si>
  <si>
    <t xml:space="preserve">Корпоратив 149 000 / 20 000</t>
  </si>
  <si>
    <t xml:space="preserve">ДОСТИГАЕТСЯ ЛИ БЕЗУБЫТОЧНОСТЬ В СЦЕНАРИИ (по числу клиентов на 12-й месяц)</t>
  </si>
  <si>
    <t xml:space="preserve">Сценарий</t>
  </si>
  <si>
    <t xml:space="preserve">Клиентов
на М12</t>
  </si>
  <si>
    <t xml:space="preserve">Пессимистичный</t>
  </si>
  <si>
    <t xml:space="preserve">Вариант Б, полная окупаемость со своим временем.</t>
  </si>
  <si>
    <t xml:space="preserve">Базовый</t>
  </si>
  <si>
    <t xml:space="preserve">Оптимистичный</t>
  </si>
  <si>
    <t xml:space="preserve">То же для ВАРИАНТА А (постоянные 35 000 ₽)</t>
  </si>
  <si>
    <t xml:space="preserve">ЧУВСТВИТЕЛЬНОСТЬ</t>
  </si>
  <si>
    <t xml:space="preserve">БЛОК 1. КЛИЕНТ ВЫБИРАЕТ КВОТУ В 10 РАЗ БОЛЬШЕ</t>
  </si>
  <si>
    <t xml:space="preserve">Множитель потребления</t>
  </si>
  <si>
    <t xml:space="preserve">Потребление, стр/мес</t>
  </si>
  <si>
    <t xml:space="preserve">ВЫРУЧКА с биллингом перерасхода, ₽</t>
  </si>
  <si>
    <t xml:space="preserve">Токены, ₽</t>
  </si>
  <si>
    <t xml:space="preserve">Поддержка, ₽</t>
  </si>
  <si>
    <t xml:space="preserve">ДОПУЩЕНИЕ: часы поддержки не растут вместе с объёмом. Спорно.</t>
  </si>
  <si>
    <t xml:space="preserve">Валовая маржа полная, ₽</t>
  </si>
  <si>
    <t xml:space="preserve">Валовая маржа полная, %</t>
  </si>
  <si>
    <t xml:space="preserve">Альтернатива клиента, ₽/мес</t>
  </si>
  <si>
    <t xml:space="preserve">Загрузка ёмкости одним таким клиентом, %</t>
  </si>
  <si>
    <t xml:space="preserve">ВЫВОД БЛОКА 1: при работающем биллинге перерасхода десятикратный объём не ухудшает маржу, а улучшает её — перерасход тарифицируется по 3–12 ₽/стр при себестоимости 0.031 ₽/стр. Риск здесь не в расходах, а в двух других местах: часы поддержки крупного клиента почти наверняка вырастут, и эффективная цена падает настолько, что клиент начинает выглядеть недоплачивающим относительно приносимой ценности.</t>
  </si>
  <si>
    <t xml:space="preserve">БЛОК 2. ПРИ КАКОМ ОБЪЁМЕ ТАРИФ ПЕРЕСТАЁТ БЫТЬ ВЫГОДНЫМ</t>
  </si>
  <si>
    <t xml:space="preserve">Объём, при котором ТОКЕНЫ съедают всю выручку (если перерасход НЕ биллится), стр</t>
  </si>
  <si>
    <t xml:space="preserve">Только для случая, когда квота фактически безлимитна.</t>
  </si>
  <si>
    <t xml:space="preserve">То же в долях от месячной ёмкости</t>
  </si>
  <si>
    <t xml:space="preserve">Значения выше 100% недостижимы физически.</t>
  </si>
  <si>
    <t xml:space="preserve">Объём, при котором ЭФФЕКТИВНАЯ ЦЕНА падает до 1 ₽/стр, стр</t>
  </si>
  <si>
    <t xml:space="preserve">Точка, где клиент платит символически относительно ценности.</t>
  </si>
  <si>
    <t xml:space="preserve">Объём безубыточности по ПОЛНЫМ расходам (с поддержкой), стр</t>
  </si>
  <si>
    <t xml:space="preserve">Объём, при котором выручка перестаёт покрывать токены + ваши часы, если перерасход не биллится.</t>
  </si>
  <si>
    <t xml:space="preserve">Вердикт</t>
  </si>
  <si>
    <t xml:space="preserve">ВЫВОД БЛОКА 2: со стороны расходов входной тариф не ломается практически никогда — токены слишком дёшевы. Единственный сценарий провала — квота, которую вы фактически не контролируете (безлимит по договору или неработающий учёт перерасхода) у клиента с объёмом в сотни тысяч страниц. Отсюда практическое требование: пока учёт расхода по клиентам не запущен, во входном тарифе должен быть жёсткий технический лимит, а не только строчка в договоре.</t>
  </si>
  <si>
    <t xml:space="preserve">БЛОК 3. ЛЕСТНИЦА ТАРИФОВ — ГДЕ КЛИЕНТУ ВЫГОДНО ОСТАТЬСЯ НА НИЖНЕМ ТАРИФЕ</t>
  </si>
  <si>
    <t xml:space="preserve">Переход</t>
  </si>
  <si>
    <t xml:space="preserve">Нижний тариф дешевле
до объёма, стр</t>
  </si>
  <si>
    <t xml:space="preserve">Квота верхнего
тарифа, стр</t>
  </si>
  <si>
    <t xml:space="preserve">Диагноз</t>
  </si>
  <si>
    <t xml:space="preserve">Пилот 19 900 / 500 → Бизнес 49 000 / 3 000</t>
  </si>
  <si>
    <t xml:space="preserve">Бизнес 49 000 / 3 000 → Корпоратив 149 000 / 20 000</t>
  </si>
  <si>
    <t xml:space="preserve">ВЫВОД БЛОКА 3: Пилот с перерасходом по 8 ₽/стр остаётся дешевле Бизнеса вплоть до 4 138 страниц, а квота Бизнеса — 3 000. Бизнес дешевле Корпоратива до 23 000 страниц при квоте Корпоратива 20 000. Рациональный клиент никогда не переходит на верхний тариф добровольно — он сидит на нижнем и платит перерасход. Для нас это не убыток (маржа на перерасходе выше), но выручка становится непредсказуемой, а обещанная лестница апсейла не работает. Чтобы она заработала, цена перерасхода нижнего тарифа должна быть выше, чем цена страницы внутри квоты верхнего.</t>
  </si>
  <si>
    <t xml:space="preserve">БЛОК 4. ЧУВСТВИТЕЛЬНОСТЬ МИНИМАЛЬНОЙ ЦЕНЫ К СТОИМОСТИ ВАШЕГО ЧАСА (вариант Б, 1 клиент, 500 стр)</t>
  </si>
  <si>
    <t xml:space="preserve">Стоимость часа, ₽</t>
  </si>
  <si>
    <t xml:space="preserve">1 ч поддержки</t>
  </si>
  <si>
    <t xml:space="preserve">2 ч</t>
  </si>
  <si>
    <t xml:space="preserve">3 ч</t>
  </si>
  <si>
    <t xml:space="preserve">4 ч</t>
  </si>
  <si>
    <t xml:space="preserve">Ваша строка: 2 000 ₽/час.</t>
  </si>
  <si>
    <t xml:space="preserve">ВЫВОД БЛОКА 4: минимальная цена почти целиком определяется стоимостью вашего часа и числом часов, а не расходами на инфраструктуру. Удвоение ставки с 1 000 до 2 000 ₽ поднимает пол входного тарифа на 3 000–6 000 ₽. Это значит, что решение о цене — на самом деле решение о том, сколько поддержки вы обещаете.</t>
  </si>
  <si>
    <t xml:space="preserve">БЛОК 5. МАРЖА ВХОДНОГО ТАРИФА ПРИ РАЗНОМ ЧИСЛЕ ЧАСОВ ПОДДЕРЖКИ</t>
  </si>
  <si>
    <t xml:space="preserve">Часов поддержки</t>
  </si>
  <si>
    <t xml:space="preserve">Т1. 19 900</t>
  </si>
  <si>
    <t xml:space="preserve">Т1-мод. 19 900</t>
  </si>
  <si>
    <t xml:space="preserve">Т2. 9 900</t>
  </si>
  <si>
    <t xml:space="preserve">Т3. мин. чек 9 900</t>
  </si>
  <si>
    <t xml:space="preserve">Отрицательное значение = клиент убыточен с учётом вашего времени.</t>
  </si>
  <si>
    <t xml:space="preserve">ВЫВОД БЛОКА 5: по валовой марже тариф 9 900 ₽ уходит в минус на 5-м часе поддержки, тариф 19 900 ₽ — на 10-м. Но это не тот порог, который важен. Важнее полная окупаемость одним клиентом: чтобы покрыть ещё и 8 000 ₽ постоянных, тариф 9 900 ₽ выдерживает менее 1 часа поддержки, а тариф 19 900 ₽ — до 5.9 часа. Именно здесь, а не в цене токенов, проходит настоящая граница между двумя конструкциями.</t>
  </si>
  <si>
    <t xml:space="preserve">РЕКОМЕНДАЦИЯ ПО ВХОДНОЙ ЦЕНЕ</t>
  </si>
  <si>
    <t xml:space="preserve">ОТВЕТ НА ГЛАВНЫЙ ВОПРОС</t>
  </si>
  <si>
    <t xml:space="preserve">Минимальная входная цена при варианте постоянных расходов Б и одном клиенте: 10 016 ₽/мес при 1 часе поддержки, 14 016 ₽ при 3 часах, 16 016 ₽ при 4 часах. Кассовый пол, если своё время не считать расходом, — 8 016 ₽/мес.</t>
  </si>
  <si>
    <t xml:space="preserve">Из этого следует вывод, обратный вашему предположению: 19 900 ₽ не является завышенной ценой по расходам. Она превышает порог окупаемости всего в 1.2–2.0 раза. Пространство для снижения существует, но оно узкое.</t>
  </si>
  <si>
    <t xml:space="preserve">НАСТОЯЩАЯ ПРОБЛЕМА ТАРИФА ПИЛОТ — НЕ ЦЕНА, А КВОТА</t>
  </si>
  <si>
    <t xml:space="preserve">19 900 ₽ за 500 страниц даёт эффективную цену 39.8 ₽ за страницу. Альтернатива клиента — ручная вычитка за 20–60 ₽ за страницу, середина 40 ₽. То есть тариф стоит ровно столько же, сколько то, что он заменяет. Экономии нет — клиенту нечего обосновывать перед своим руководством.</t>
  </si>
  <si>
    <t xml:space="preserve">При этом квота — самый дешёвый параметр в модели. Увеличение квоты с 500 до 1 500 страниц стоит нам 31 ₽ токенов в месяц и превращает предложение из «столько же, сколько вручную» в «втрое дешевле, чем вручную».</t>
  </si>
  <si>
    <t xml:space="preserve">СРАВНЕНИЕ ТРЁХ КОНСТРУКЦИЙ ВХОДНОГО ТАРИФА</t>
  </si>
  <si>
    <t xml:space="preserve">1) Подписка 19 900 ₽ / 500 страниц. Маржа 69.8% при 3 часах поддержки, безубыточность при 1 клиенте (вариант Б). Экономика лучшая из трёх. Ценность для клиента — нулевая. Продать будет трудно не из-за суммы, а из-за отсутствия выгоды.</t>
  </si>
  <si>
    <t xml:space="preserve">2) Подписка 9 900 ₽ / 750 страниц с ограниченным SLA (только почта, ответ в течение рабочего дня). Эффективная цена 13.2 ₽/стр — втрое дешевле ручного труда. Валовая маржа 79.6% при 1 часе поддержки, 39.2% при 3 часах, 18.9% при 4 часах. Полная безубыточность наступает со ВТОРОГО клиента даже при идеальном SLA: вклад одного клиента при 1 часе поддержки составляет 7 877 ₽ против 8 000 ₽ постоянных расходов — не хватает 123 ₽. При 3 часах поддержки нужно 3 клиента.</t>
  </si>
  <si>
    <t xml:space="preserve">3) Без подписки: 12 ₽ за страницу, минимальный месячный чек 9 900 ₽. Эффективная цена 12 ₽/стр — прямое сравнение с ручной вычиткой в одних единицах, самая понятная клиенту конструкция. Экономика на минимальном чеке совпадает с вариантом 2. Недостаток: выручка непредсказуема, и при большом объёме клиент платит меньше, чем на подписке с квотой.</t>
  </si>
  <si>
    <t xml:space="preserve">ЧТО РЕКОМЕНДУЕТСЯ</t>
  </si>
  <si>
    <t xml:space="preserve">Основной вариант: оставить цену 19 900 ₽, но поднять квоту до 1 500 страниц. Это стоит нам 31 ₽ токенов в месяц, сохраняет лучшую маржу, окупается уже на первом клиенте и выдерживает до 5.9 часа поддержки в месяц при полной окупаемости. Главное — решает настоящую проблему: отсутствие видимой выгоды для клиента. Если возражение первого заказчика окажется именно про размер счёта, а не про соотношение цены и пользы, тогда переходить ко второму варианту.</t>
  </si>
  <si>
    <t xml:space="preserve">Запасной вариант, если бюджет заказчика жёстко ограничен: 9 900 ₽ за 750 страниц, но обязательно с письменно ограниченным SLA. Этот тариф не окупает постоянные расходы на одном клиенте даже при 1 часе поддержки — ему нужен второй клиент. Идти на него имеет смысл только как на осознанную инвестицию в первого референсного заказчика, а не как на устойчивую цену.</t>
  </si>
  <si>
    <t xml:space="preserve">Чего делать не стоит: вводить тариф ниже 9 900 ₽. Ниже этой отметки один клиент не покрывает даже 8 000 ₽ постоянных расходов, и каждый новый заказчик увеличивает убыток вместо того, чтобы его сокращать.</t>
  </si>
  <si>
    <t xml:space="preserve">ОБОСНОВАНИЕ ОТ АЛЬТЕРНАТИВЫ КЛИЕНТА</t>
  </si>
  <si>
    <t xml:space="preserve">Клиент тратит 20–60 ₽ рабочего времени на страницу. При 1 500 страницах в месяц это 30 000–90 000 ₽. Цена 19 900 ₽ экономит ему от 10 100 до 70 100 ₽ в месяц. Важная оговорка: при нижней границе диапазона (дешёвый персонал, 20 ₽/стр) экономия на тарифе 19 900 ₽ / 500 стр отрицательна — минус 9 900 ₽. Это значит, что для клиентов с дешёвым ручным трудом текущий Пилот продать нельзя ни за какие деньги; продаётся только увеличенная квота.</t>
  </si>
  <si>
    <t xml:space="preserve">ЧТО НУЖНО ПОДТВЕРДИТЬ ИЛИ ИЗМЕРИТЬ ПРЕЖДЕ, ЧЕМ ФИКСИРОВАТЬ ЦЕНУ</t>
  </si>
  <si>
    <t xml:space="preserve">Стоимость вашего часа в 2 000 ₽ — задана вами, но не проверена. Она определяет порог цены почти целиком (см. блок 4 «Чувствительности»).</t>
  </si>
  <si>
    <t xml:space="preserve">Реальное число часов поддержки. Диапазон 2–4 взят с ваших слов, статистики нет. Вся разница между «9 900 работает» и «9 900 убыточен» лежит внутри этого диапазона.</t>
  </si>
  <si>
    <t xml:space="preserve">Фактическая выборка квоты. Модель считает, что клиент выбирает квоту полностью. Если он выбирает 20%, эффективная цена вырастает впятеро и ценностное обоснование рушится. Сбор расхода по клиентам стоит запустить до подписания первого договора, а не после.</t>
  </si>
  <si>
    <t xml:space="preserve">Стоимость ручной вычитки у конкретного заказчика. Диапазон 20–60 ₽ втрое широк, и решение о цене на разных его концах разное.</t>
  </si>
  <si>
    <t xml:space="preserve">ЧТО МОДЕЛЬ НЕ СЧИТАЕТ</t>
  </si>
  <si>
    <t xml:space="preserve">Рыночный спрос, конверсию, отток, стоимость привлечения клиента, налоги, разовые платежи за внедрение и разрывы в оплате. Этих данных у нас нет, и они не выдуманы. Все допущения собраны на листе «Допущения» с жёлтой заливкой.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</si>
</sst>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0&quot;  ₽&quot;;\(#,##0.000&quot;) ₽&quot;;&quot;- &quot;"/>
    <numFmt numFmtId="166" formatCode="#,##0.0;\(#,##0.0\);&quot;- &quot;"/>
    <numFmt numFmtId="167" formatCode="#,##0.00&quot;  ₽&quot;;\(#,##0.00&quot;) ₽&quot;;&quot;- &quot;"/>
    <numFmt numFmtId="168" formatCode="#,##0&quot;  ₽&quot;;\(#,##0&quot;) ₽&quot;;&quot;- &quot;"/>
    <numFmt numFmtId="169" formatCode="#,##0;\(#,##0\);&quot;- &quot;"/>
    <numFmt numFmtId="170" formatCode="0.0%;\(0.0%\);&quot;- &quot;"/>
    <numFmt numFmtId="171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7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/>
      <c r="C5" s="3"/>
      <c r="D5" s="3"/>
    </row>
    <row r="6" customFormat="false" ht="15" hidden="false" customHeight="false" outlineLevel="0" collapsed="false">
      <c r="A6" s="4" t="s">
        <v>4</v>
      </c>
      <c r="B6" s="5" t="n">
        <v>0.083</v>
      </c>
      <c r="C6" s="6" t="s">
        <v>5</v>
      </c>
      <c r="D6" s="2" t="s">
        <v>6</v>
      </c>
    </row>
    <row r="7" customFormat="false" ht="15" hidden="false" customHeight="false" outlineLevel="0" collapsed="false">
      <c r="A7" s="4" t="s">
        <v>7</v>
      </c>
      <c r="B7" s="5" t="n">
        <v>0.031</v>
      </c>
      <c r="C7" s="6" t="s">
        <v>5</v>
      </c>
      <c r="D7" s="2" t="s">
        <v>8</v>
      </c>
    </row>
    <row r="8" customFormat="false" ht="23.85" hidden="false" customHeight="false" outlineLevel="0" collapsed="false">
      <c r="A8" s="7" t="s">
        <v>9</v>
      </c>
      <c r="B8" s="8" t="n">
        <f aca="false">B7</f>
        <v>0.031</v>
      </c>
      <c r="C8" s="6" t="s">
        <v>10</v>
      </c>
      <c r="D8" s="2" t="s">
        <v>11</v>
      </c>
    </row>
    <row r="10" customFormat="false" ht="15" hidden="false" customHeight="false" outlineLevel="0" collapsed="false">
      <c r="A10" s="7" t="s">
        <v>12</v>
      </c>
    </row>
    <row r="11" customFormat="false" ht="15" hidden="false" customHeight="false" outlineLevel="0" collapsed="false">
      <c r="A11" s="9" t="s">
        <v>13</v>
      </c>
      <c r="B11" s="9" t="s">
        <v>14</v>
      </c>
      <c r="C11" s="9" t="s">
        <v>15</v>
      </c>
      <c r="D11" s="9" t="s">
        <v>16</v>
      </c>
    </row>
    <row r="12" customFormat="false" ht="15" hidden="false" customHeight="false" outlineLevel="0" collapsed="false">
      <c r="A12" s="10" t="s">
        <v>17</v>
      </c>
      <c r="B12" s="11" t="n">
        <v>1.4</v>
      </c>
      <c r="C12" s="12" t="n">
        <v>0.19</v>
      </c>
      <c r="D12" s="13" t="n">
        <f aca="false">C12/B12</f>
        <v>0.135714285714286</v>
      </c>
    </row>
    <row r="13" customFormat="false" ht="15" hidden="false" customHeight="false" outlineLevel="0" collapsed="false">
      <c r="A13" s="10" t="s">
        <v>18</v>
      </c>
      <c r="B13" s="11" t="n">
        <v>9.4</v>
      </c>
      <c r="C13" s="12" t="n">
        <v>0.68</v>
      </c>
      <c r="D13" s="13" t="n">
        <f aca="false">C13/B13</f>
        <v>0.0723404255319149</v>
      </c>
    </row>
    <row r="14" customFormat="false" ht="15" hidden="false" customHeight="false" outlineLevel="0" collapsed="false">
      <c r="A14" s="10" t="s">
        <v>19</v>
      </c>
      <c r="B14" s="11" t="n">
        <v>29.7</v>
      </c>
      <c r="C14" s="12" t="n">
        <v>2.49</v>
      </c>
      <c r="D14" s="13" t="n">
        <f aca="false">C14/B14</f>
        <v>0.0838383838383839</v>
      </c>
    </row>
    <row r="15" customFormat="false" ht="57.75" hidden="false" customHeight="true" outlineLevel="0" collapsed="false">
      <c r="A15" s="7" t="s">
        <v>20</v>
      </c>
      <c r="D15" s="2" t="s">
        <v>21</v>
      </c>
    </row>
    <row r="17" customFormat="false" ht="15" hidden="false" customHeight="false" outlineLevel="0" collapsed="false">
      <c r="A17" s="3" t="s">
        <v>22</v>
      </c>
      <c r="B17" s="3"/>
      <c r="C17" s="3"/>
      <c r="D17" s="3"/>
    </row>
    <row r="18" customFormat="false" ht="15" hidden="false" customHeight="false" outlineLevel="0" collapsed="false">
      <c r="A18" s="4" t="s">
        <v>23</v>
      </c>
      <c r="B18" s="14" t="n">
        <v>30000</v>
      </c>
      <c r="C18" s="6" t="s">
        <v>24</v>
      </c>
    </row>
    <row r="19" customFormat="false" ht="15" hidden="false" customHeight="false" outlineLevel="0" collapsed="false">
      <c r="A19" s="4" t="s">
        <v>25</v>
      </c>
      <c r="B19" s="14" t="n">
        <v>5000</v>
      </c>
      <c r="C19" s="6" t="s">
        <v>24</v>
      </c>
    </row>
    <row r="20" customFormat="false" ht="15" hidden="false" customHeight="false" outlineLevel="0" collapsed="false">
      <c r="A20" s="7" t="s">
        <v>26</v>
      </c>
      <c r="B20" s="15" t="n">
        <f aca="false">B18+B19</f>
        <v>35000</v>
      </c>
    </row>
    <row r="21" customFormat="false" ht="15" hidden="false" customHeight="false" outlineLevel="0" collapsed="false">
      <c r="A21" s="4" t="s">
        <v>27</v>
      </c>
      <c r="B21" s="5" t="n">
        <v>0</v>
      </c>
      <c r="C21" s="6" t="s">
        <v>28</v>
      </c>
      <c r="D21" s="2" t="s">
        <v>29</v>
      </c>
    </row>
    <row r="22" customFormat="false" ht="15" hidden="false" customHeight="false" outlineLevel="0" collapsed="false">
      <c r="A22" s="7" t="s">
        <v>30</v>
      </c>
      <c r="B22" s="14" t="n">
        <v>8000</v>
      </c>
      <c r="C22" s="6" t="s">
        <v>24</v>
      </c>
      <c r="D22" s="2" t="s">
        <v>31</v>
      </c>
    </row>
    <row r="23" customFormat="false" ht="15" hidden="false" customHeight="false" outlineLevel="0" collapsed="false">
      <c r="A23" s="4" t="s">
        <v>32</v>
      </c>
      <c r="B23" s="16" t="n">
        <f aca="false">B8</f>
        <v>0.031</v>
      </c>
    </row>
    <row r="24" customFormat="false" ht="15" hidden="false" customHeight="false" outlineLevel="0" collapsed="false">
      <c r="A24" s="4" t="s">
        <v>33</v>
      </c>
      <c r="B24" s="17" t="n">
        <v>361000</v>
      </c>
      <c r="C24" s="6" t="s">
        <v>24</v>
      </c>
    </row>
    <row r="25" customFormat="false" ht="30" hidden="false" customHeight="true" outlineLevel="0" collapsed="false">
      <c r="A25" s="4" t="s">
        <v>34</v>
      </c>
      <c r="B25" s="18" t="n">
        <f aca="false">B18/B6</f>
        <v>361445.78313253</v>
      </c>
      <c r="D25" s="2" t="s">
        <v>35</v>
      </c>
    </row>
    <row r="27" customFormat="false" ht="15" hidden="false" customHeight="false" outlineLevel="0" collapsed="false">
      <c r="A27" s="3" t="s">
        <v>36</v>
      </c>
      <c r="B27" s="3"/>
      <c r="C27" s="3"/>
      <c r="D27" s="3"/>
    </row>
    <row r="28" customFormat="false" ht="15" hidden="false" customHeight="false" outlineLevel="0" collapsed="false">
      <c r="A28" s="4" t="s">
        <v>37</v>
      </c>
      <c r="B28" s="19" t="n">
        <v>2000</v>
      </c>
      <c r="C28" s="6" t="s">
        <v>38</v>
      </c>
      <c r="D28" s="2" t="s">
        <v>39</v>
      </c>
    </row>
    <row r="29" customFormat="false" ht="15" hidden="false" customHeight="false" outlineLevel="0" collapsed="false">
      <c r="A29" s="4" t="s">
        <v>40</v>
      </c>
      <c r="B29" s="20" t="n">
        <v>2</v>
      </c>
      <c r="C29" s="6" t="s">
        <v>24</v>
      </c>
      <c r="D29" s="2" t="s">
        <v>41</v>
      </c>
    </row>
    <row r="30" customFormat="false" ht="15" hidden="false" customHeight="false" outlineLevel="0" collapsed="false">
      <c r="A30" s="4" t="s">
        <v>42</v>
      </c>
      <c r="B30" s="21" t="n">
        <v>3</v>
      </c>
      <c r="C30" s="6" t="s">
        <v>38</v>
      </c>
      <c r="D30" s="2" t="s">
        <v>43</v>
      </c>
    </row>
    <row r="31" customFormat="false" ht="15" hidden="false" customHeight="false" outlineLevel="0" collapsed="false">
      <c r="A31" s="4" t="s">
        <v>44</v>
      </c>
      <c r="B31" s="20" t="n">
        <v>4</v>
      </c>
      <c r="C31" s="6" t="s">
        <v>24</v>
      </c>
      <c r="D31" s="2" t="s">
        <v>41</v>
      </c>
    </row>
    <row r="32" customFormat="false" ht="15" hidden="false" customHeight="false" outlineLevel="0" collapsed="false">
      <c r="A32" s="4" t="s">
        <v>45</v>
      </c>
      <c r="B32" s="21" t="n">
        <v>1</v>
      </c>
      <c r="C32" s="6" t="s">
        <v>38</v>
      </c>
      <c r="D32" s="2" t="s">
        <v>46</v>
      </c>
    </row>
    <row r="33" customFormat="false" ht="15" hidden="false" customHeight="false" outlineLevel="0" collapsed="false">
      <c r="A33" s="7" t="s">
        <v>47</v>
      </c>
      <c r="B33" s="15" t="n">
        <f aca="false">B28*B30</f>
        <v>6000</v>
      </c>
    </row>
    <row r="34" customFormat="false" ht="15" hidden="false" customHeight="false" outlineLevel="0" collapsed="false">
      <c r="A34" s="7" t="s">
        <v>48</v>
      </c>
      <c r="B34" s="15" t="n">
        <f aca="false">B28*B32</f>
        <v>2000</v>
      </c>
    </row>
    <row r="36" customFormat="false" ht="15" hidden="false" customHeight="false" outlineLevel="0" collapsed="false">
      <c r="A36" s="3" t="s">
        <v>49</v>
      </c>
      <c r="B36" s="3"/>
      <c r="C36" s="3"/>
      <c r="D36" s="3"/>
    </row>
    <row r="37" customFormat="false" ht="15" hidden="false" customHeight="false" outlineLevel="0" collapsed="false">
      <c r="A37" s="4" t="s">
        <v>50</v>
      </c>
      <c r="B37" s="14" t="n">
        <v>20</v>
      </c>
      <c r="C37" s="6" t="s">
        <v>24</v>
      </c>
    </row>
    <row r="38" customFormat="false" ht="15" hidden="false" customHeight="false" outlineLevel="0" collapsed="false">
      <c r="A38" s="4" t="s">
        <v>51</v>
      </c>
      <c r="B38" s="14" t="n">
        <v>60</v>
      </c>
      <c r="C38" s="6" t="s">
        <v>24</v>
      </c>
    </row>
    <row r="39" customFormat="false" ht="15" hidden="false" customHeight="false" outlineLevel="0" collapsed="false">
      <c r="A39" s="4" t="s">
        <v>52</v>
      </c>
      <c r="B39" s="22" t="n">
        <f aca="false">AVERAGE(B37:B38)</f>
        <v>40</v>
      </c>
    </row>
    <row r="40" customFormat="false" ht="15" hidden="false" customHeight="false" outlineLevel="0" collapsed="false">
      <c r="A40" s="4" t="s">
        <v>53</v>
      </c>
      <c r="B40" s="23" t="n">
        <v>0.33</v>
      </c>
      <c r="C40" s="6" t="s">
        <v>38</v>
      </c>
      <c r="D40" s="2" t="s">
        <v>54</v>
      </c>
    </row>
    <row r="41" customFormat="false" ht="15" hidden="false" customHeight="false" outlineLevel="0" collapsed="false">
      <c r="A41" s="7" t="s">
        <v>55</v>
      </c>
      <c r="B41" s="24" t="n">
        <f aca="false">B39*B40</f>
        <v>13.2</v>
      </c>
    </row>
    <row r="43" customFormat="false" ht="15" hidden="false" customHeight="false" outlineLevel="0" collapsed="false">
      <c r="A43" s="3" t="s">
        <v>56</v>
      </c>
      <c r="B43" s="3"/>
      <c r="C43" s="3"/>
      <c r="D43" s="3"/>
    </row>
    <row r="44" customFormat="false" ht="15" hidden="false" customHeight="false" outlineLevel="0" collapsed="false">
      <c r="A44" s="4" t="s">
        <v>57</v>
      </c>
      <c r="B44" s="23" t="n">
        <v>0</v>
      </c>
      <c r="C44" s="6" t="s">
        <v>38</v>
      </c>
      <c r="D44" s="2" t="s">
        <v>58</v>
      </c>
    </row>
    <row r="45" customFormat="false" ht="15" hidden="false" customHeight="false" outlineLevel="0" collapsed="false">
      <c r="A45" s="4" t="s">
        <v>59</v>
      </c>
      <c r="B45" s="19" t="n">
        <v>0</v>
      </c>
      <c r="C45" s="6" t="s">
        <v>38</v>
      </c>
      <c r="D45" s="2" t="s">
        <v>60</v>
      </c>
    </row>
    <row r="46" customFormat="false" ht="15" hidden="false" customHeight="false" outlineLevel="0" collapsed="false">
      <c r="A46" s="4" t="s">
        <v>61</v>
      </c>
      <c r="B46" s="19" t="n">
        <v>0</v>
      </c>
      <c r="C46" s="6" t="s">
        <v>38</v>
      </c>
      <c r="D46" s="2" t="s">
        <v>62</v>
      </c>
    </row>
    <row r="47" customFormat="false" ht="15" hidden="false" customHeight="false" outlineLevel="0" collapsed="false">
      <c r="A47" s="4" t="s">
        <v>63</v>
      </c>
      <c r="B47" s="23" t="n">
        <v>1</v>
      </c>
      <c r="C47" s="6" t="s">
        <v>38</v>
      </c>
      <c r="D47" s="2" t="s">
        <v>64</v>
      </c>
    </row>
    <row r="48" customFormat="false" ht="15" hidden="false" customHeight="false" outlineLevel="0" collapsed="false">
      <c r="A48" s="4" t="s">
        <v>65</v>
      </c>
      <c r="B48" s="19" t="n">
        <v>0</v>
      </c>
      <c r="C48" s="6" t="s">
        <v>38</v>
      </c>
      <c r="D48" s="2" t="s">
        <v>66</v>
      </c>
    </row>
    <row r="49" customFormat="false" ht="15" hidden="false" customHeight="false" outlineLevel="0" collapsed="false">
      <c r="A49" s="4" t="s">
        <v>67</v>
      </c>
      <c r="B49" s="21" t="n">
        <v>0</v>
      </c>
      <c r="C49" s="6" t="s">
        <v>38</v>
      </c>
      <c r="D49" s="2" t="s">
        <v>68</v>
      </c>
    </row>
    <row r="51" customFormat="false" ht="15" hidden="false" customHeight="false" outlineLevel="0" collapsed="false">
      <c r="A51" s="3" t="s">
        <v>69</v>
      </c>
      <c r="B51" s="3"/>
      <c r="C51" s="3"/>
      <c r="D51" s="3"/>
    </row>
    <row r="52" customFormat="false" ht="15" hidden="false" customHeight="false" outlineLevel="0" collapsed="false">
      <c r="A52" s="4" t="s">
        <v>70</v>
      </c>
      <c r="B52" s="17" t="n">
        <v>136</v>
      </c>
      <c r="C52" s="6" t="s">
        <v>24</v>
      </c>
    </row>
    <row r="53" customFormat="false" ht="15" hidden="false" customHeight="false" outlineLevel="0" collapsed="false">
      <c r="A53" s="4" t="s">
        <v>71</v>
      </c>
      <c r="B53" s="18" t="n">
        <f aca="false">B52*30</f>
        <v>4080</v>
      </c>
    </row>
    <row r="54" customFormat="false" ht="15" hidden="false" customHeight="false" outlineLevel="0" collapsed="false">
      <c r="A54" s="4" t="s">
        <v>72</v>
      </c>
      <c r="B54" s="25" t="n">
        <v>176</v>
      </c>
      <c r="C54" s="6" t="s">
        <v>38</v>
      </c>
      <c r="D54" s="2" t="s">
        <v>73</v>
      </c>
    </row>
    <row r="55" customFormat="false" ht="15" hidden="false" customHeight="false" outlineLevel="0" collapsed="false">
      <c r="A55" s="7" t="s">
        <v>74</v>
      </c>
      <c r="B55" s="26" t="n">
        <f aca="false">B53*B54</f>
        <v>718080</v>
      </c>
    </row>
    <row r="56" customFormat="false" ht="15" hidden="false" customHeight="false" outlineLevel="0" collapsed="false">
      <c r="A56" s="4" t="s">
        <v>75</v>
      </c>
      <c r="B56" s="27" t="s">
        <v>76</v>
      </c>
      <c r="C56" s="6" t="s">
        <v>24</v>
      </c>
    </row>
    <row r="57" customFormat="false" ht="15" hidden="false" customHeight="false" outlineLevel="0" collapsed="false">
      <c r="A57" s="7" t="s">
        <v>77</v>
      </c>
      <c r="D57" s="2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7"/>
    <col collapsed="false" customWidth="true" hidden="false" outlineLevel="0" max="8" min="8" style="0" width="60"/>
  </cols>
  <sheetData>
    <row r="1" customFormat="false" ht="16.1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3" customFormat="false" ht="55.5" hidden="false" customHeight="true" outlineLevel="0" collapsed="false">
      <c r="A3" s="9" t="s">
        <v>81</v>
      </c>
      <c r="B3" s="28" t="s">
        <v>82</v>
      </c>
      <c r="C3" s="28" t="s">
        <v>83</v>
      </c>
      <c r="D3" s="28" t="s">
        <v>84</v>
      </c>
      <c r="E3" s="28" t="s">
        <v>85</v>
      </c>
      <c r="F3" s="28" t="s">
        <v>86</v>
      </c>
      <c r="G3" s="28" t="s">
        <v>87</v>
      </c>
      <c r="H3" s="9" t="s">
        <v>88</v>
      </c>
    </row>
    <row r="4" customFormat="false" ht="15" hidden="false" customHeight="false" outlineLevel="0" collapsed="false">
      <c r="A4" s="10" t="s">
        <v>89</v>
      </c>
      <c r="B4" s="29" t="n">
        <v>19900</v>
      </c>
      <c r="C4" s="29" t="n">
        <v>19900</v>
      </c>
      <c r="D4" s="29" t="n">
        <v>9900</v>
      </c>
      <c r="E4" s="29" t="n">
        <v>0</v>
      </c>
      <c r="F4" s="29" t="n">
        <v>49000</v>
      </c>
      <c r="G4" s="29" t="n">
        <v>149000</v>
      </c>
      <c r="H4" s="2" t="s">
        <v>90</v>
      </c>
    </row>
    <row r="5" customFormat="false" ht="15" hidden="false" customHeight="false" outlineLevel="0" collapsed="false">
      <c r="A5" s="10" t="s">
        <v>91</v>
      </c>
      <c r="B5" s="30" t="n">
        <v>500</v>
      </c>
      <c r="C5" s="30" t="n">
        <v>1500</v>
      </c>
      <c r="D5" s="30" t="n">
        <v>750</v>
      </c>
      <c r="E5" s="30" t="n">
        <v>0</v>
      </c>
      <c r="F5" s="30" t="n">
        <v>3000</v>
      </c>
      <c r="G5" s="30" t="n">
        <v>20000</v>
      </c>
      <c r="H5" s="2" t="s">
        <v>92</v>
      </c>
    </row>
    <row r="6" customFormat="false" ht="15" hidden="false" customHeight="false" outlineLevel="0" collapsed="false">
      <c r="A6" s="10" t="s">
        <v>93</v>
      </c>
      <c r="B6" s="29" t="n">
        <v>8</v>
      </c>
      <c r="C6" s="29" t="n">
        <v>8</v>
      </c>
      <c r="D6" s="29" t="n">
        <v>9</v>
      </c>
      <c r="E6" s="29" t="n">
        <v>12</v>
      </c>
      <c r="F6" s="29" t="n">
        <v>5</v>
      </c>
      <c r="G6" s="29" t="n">
        <v>3</v>
      </c>
      <c r="H6" s="2" t="s">
        <v>94</v>
      </c>
    </row>
    <row r="7" customFormat="false" ht="15" hidden="false" customHeight="false" outlineLevel="0" collapsed="false">
      <c r="A7" s="10" t="s">
        <v>95</v>
      </c>
      <c r="B7" s="29" t="n">
        <v>19900</v>
      </c>
      <c r="C7" s="29" t="n">
        <v>19900</v>
      </c>
      <c r="D7" s="29" t="n">
        <v>9900</v>
      </c>
      <c r="E7" s="29" t="n">
        <v>9900</v>
      </c>
      <c r="F7" s="29" t="n">
        <v>49000</v>
      </c>
      <c r="G7" s="29" t="n">
        <v>149000</v>
      </c>
      <c r="H7" s="2" t="s">
        <v>96</v>
      </c>
    </row>
    <row r="8" customFormat="false" ht="15" hidden="false" customHeight="false" outlineLevel="0" collapsed="false">
      <c r="A8" s="10" t="s">
        <v>97</v>
      </c>
      <c r="B8" s="31" t="n">
        <f aca="false">Допущения!$B$30</f>
        <v>3</v>
      </c>
      <c r="C8" s="31" t="n">
        <f aca="false">Допущения!$B$30</f>
        <v>3</v>
      </c>
      <c r="D8" s="31" t="n">
        <f aca="false">Допущения!$B$32</f>
        <v>1</v>
      </c>
      <c r="E8" s="31" t="n">
        <f aca="false">Допущения!$B$32</f>
        <v>1</v>
      </c>
      <c r="F8" s="31" t="n">
        <f aca="false">Допущения!$B$30</f>
        <v>3</v>
      </c>
      <c r="G8" s="31" t="n">
        <f aca="false">Допущения!$B$31</f>
        <v>4</v>
      </c>
      <c r="H8" s="2" t="s">
        <v>98</v>
      </c>
    </row>
    <row r="9" customFormat="false" ht="15" hidden="false" customHeight="false" outlineLevel="0" collapsed="false">
      <c r="A9" s="10" t="s">
        <v>99</v>
      </c>
      <c r="B9" s="32" t="n">
        <f aca="false">IF(B5&gt;0,B5,B7/B6)*Допущения!$B$47</f>
        <v>500</v>
      </c>
      <c r="C9" s="32" t="n">
        <f aca="false">IF(C5&gt;0,C5,C7/C6)*Допущения!$B$47</f>
        <v>1500</v>
      </c>
      <c r="D9" s="32" t="n">
        <f aca="false">IF(D5&gt;0,D5,D7/D6)*Допущения!$B$47</f>
        <v>750</v>
      </c>
      <c r="E9" s="32" t="n">
        <f aca="false">IF(E5&gt;0,E5,E7/E6)*Допущения!$B$47</f>
        <v>825</v>
      </c>
      <c r="F9" s="32" t="n">
        <f aca="false">IF(F5&gt;0,F5,F7/F6)*Допущения!$B$47</f>
        <v>3000</v>
      </c>
      <c r="G9" s="32" t="n">
        <f aca="false">IF(G5&gt;0,G5,G7/G6)*Допущения!$B$47</f>
        <v>20000</v>
      </c>
      <c r="H9" s="2" t="s">
        <v>100</v>
      </c>
    </row>
    <row r="10" customFormat="false" ht="15" hidden="false" customHeight="false" outlineLevel="0" collapsed="false">
      <c r="A10" s="33" t="s">
        <v>101</v>
      </c>
      <c r="B10" s="34" t="n">
        <f aca="false">MAX(B7,B4+MAX(0,B9-B5)*B6)</f>
        <v>19900</v>
      </c>
      <c r="C10" s="34" t="n">
        <f aca="false">MAX(C7,C4+MAX(0,C9-C5)*C6)</f>
        <v>19900</v>
      </c>
      <c r="D10" s="34" t="n">
        <f aca="false">MAX(D7,D4+MAX(0,D9-D5)*D6)</f>
        <v>9900</v>
      </c>
      <c r="E10" s="34" t="n">
        <f aca="false">MAX(E7,E4+MAX(0,E9-E5)*E6)</f>
        <v>9900</v>
      </c>
      <c r="F10" s="34" t="n">
        <f aca="false">MAX(F7,F4+MAX(0,F9-F5)*F6)</f>
        <v>49000</v>
      </c>
      <c r="G10" s="34" t="n">
        <f aca="false">MAX(G7,G4+MAX(0,G9-G5)*G6)</f>
        <v>149000</v>
      </c>
    </row>
    <row r="11" customFormat="false" ht="15" hidden="false" customHeight="false" outlineLevel="0" collapsed="false">
      <c r="A11" s="10" t="s">
        <v>102</v>
      </c>
      <c r="B11" s="35" t="n">
        <f aca="false">IFERROR(B10/B9,0)</f>
        <v>39.8</v>
      </c>
      <c r="C11" s="35" t="n">
        <f aca="false">IFERROR(C10/C9,0)</f>
        <v>13.2666666666667</v>
      </c>
      <c r="D11" s="35" t="n">
        <f aca="false">IFERROR(D10/D9,0)</f>
        <v>13.2</v>
      </c>
      <c r="E11" s="35" t="n">
        <f aca="false">IFERROR(E10/E9,0)</f>
        <v>12</v>
      </c>
      <c r="F11" s="35" t="n">
        <f aca="false">IFERROR(F10/F9,0)</f>
        <v>16.3333333333333</v>
      </c>
      <c r="G11" s="35" t="n">
        <f aca="false">IFERROR(G10/G9,0)</f>
        <v>7.45</v>
      </c>
      <c r="H11" s="2" t="s">
        <v>103</v>
      </c>
    </row>
    <row r="12" customFormat="false" ht="15" hidden="false" customHeight="false" outlineLevel="0" collapsed="false">
      <c r="A12" s="3" t="s">
        <v>104</v>
      </c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10" t="s">
        <v>105</v>
      </c>
      <c r="B13" s="36" t="n">
        <f aca="false">-B9*Допущения!$B$23</f>
        <v>-15.5</v>
      </c>
      <c r="C13" s="36" t="n">
        <f aca="false">-C9*Допущения!$B$23</f>
        <v>-46.5</v>
      </c>
      <c r="D13" s="36" t="n">
        <f aca="false">-D9*Допущения!$B$23</f>
        <v>-23.25</v>
      </c>
      <c r="E13" s="36" t="n">
        <f aca="false">-E9*Допущения!$B$23</f>
        <v>-25.575</v>
      </c>
      <c r="F13" s="36" t="n">
        <f aca="false">-F9*Допущения!$B$23</f>
        <v>-93</v>
      </c>
      <c r="G13" s="36" t="n">
        <f aca="false">-G9*Допущения!$B$23</f>
        <v>-620</v>
      </c>
      <c r="H13" s="2" t="s">
        <v>106</v>
      </c>
    </row>
    <row r="14" customFormat="false" ht="15" hidden="false" customHeight="false" outlineLevel="0" collapsed="false">
      <c r="A14" s="10" t="s">
        <v>107</v>
      </c>
      <c r="B14" s="37" t="n">
        <f aca="false">-B8*Допущения!$B$28</f>
        <v>-6000</v>
      </c>
      <c r="C14" s="37" t="n">
        <f aca="false">-C8*Допущения!$B$28</f>
        <v>-6000</v>
      </c>
      <c r="D14" s="37" t="n">
        <f aca="false">-D8*Допущения!$B$28</f>
        <v>-2000</v>
      </c>
      <c r="E14" s="37" t="n">
        <f aca="false">-E8*Допущения!$B$28</f>
        <v>-2000</v>
      </c>
      <c r="F14" s="37" t="n">
        <f aca="false">-F8*Допущения!$B$28</f>
        <v>-6000</v>
      </c>
      <c r="G14" s="37" t="n">
        <f aca="false">-G8*Допущения!$B$28</f>
        <v>-8000</v>
      </c>
      <c r="H14" s="2" t="s">
        <v>108</v>
      </c>
    </row>
    <row r="15" customFormat="false" ht="15" hidden="false" customHeight="false" outlineLevel="0" collapsed="false">
      <c r="A15" s="38" t="s">
        <v>109</v>
      </c>
      <c r="B15" s="39" t="n">
        <f aca="false">SUM(B13:B14)</f>
        <v>-6015.5</v>
      </c>
      <c r="C15" s="39" t="n">
        <f aca="false">SUM(C13:C14)</f>
        <v>-6046.5</v>
      </c>
      <c r="D15" s="39" t="n">
        <f aca="false">SUM(D13:D14)</f>
        <v>-2023.25</v>
      </c>
      <c r="E15" s="39" t="n">
        <f aca="false">SUM(E13:E14)</f>
        <v>-2025.575</v>
      </c>
      <c r="F15" s="39" t="n">
        <f aca="false">SUM(F13:F14)</f>
        <v>-6093</v>
      </c>
      <c r="G15" s="39" t="n">
        <f aca="false">SUM(G13:G14)</f>
        <v>-8620</v>
      </c>
    </row>
    <row r="16" customFormat="false" ht="15" hidden="false" customHeight="false" outlineLevel="0" collapsed="false">
      <c r="A16" s="33" t="s">
        <v>110</v>
      </c>
      <c r="B16" s="34" t="n">
        <f aca="false">B10+B15</f>
        <v>13884.5</v>
      </c>
      <c r="C16" s="34" t="n">
        <f aca="false">C10+C15</f>
        <v>13853.5</v>
      </c>
      <c r="D16" s="34" t="n">
        <f aca="false">D10+D15</f>
        <v>7876.75</v>
      </c>
      <c r="E16" s="34" t="n">
        <f aca="false">E10+E15</f>
        <v>7874.425</v>
      </c>
      <c r="F16" s="34" t="n">
        <f aca="false">F10+F15</f>
        <v>42907</v>
      </c>
      <c r="G16" s="34" t="n">
        <f aca="false">G10+G15</f>
        <v>140380</v>
      </c>
    </row>
    <row r="17" customFormat="false" ht="15" hidden="false" customHeight="false" outlineLevel="0" collapsed="false">
      <c r="A17" s="33" t="s">
        <v>111</v>
      </c>
      <c r="B17" s="40" t="n">
        <f aca="false">IFERROR(B16/B10,0)</f>
        <v>0.697713567839196</v>
      </c>
      <c r="C17" s="40" t="n">
        <f aca="false">IFERROR(C16/C10,0)</f>
        <v>0.696155778894472</v>
      </c>
      <c r="D17" s="40" t="n">
        <f aca="false">IFERROR(D16/D10,0)</f>
        <v>0.795631313131313</v>
      </c>
      <c r="E17" s="40" t="n">
        <f aca="false">IFERROR(E16/E10,0)</f>
        <v>0.795396464646465</v>
      </c>
      <c r="F17" s="40" t="n">
        <f aca="false">IFERROR(F16/F10,0)</f>
        <v>0.87565306122449</v>
      </c>
      <c r="G17" s="40" t="n">
        <f aca="false">IFERROR(G16/G10,0)</f>
        <v>0.942147651006711</v>
      </c>
    </row>
    <row r="18" customFormat="false" ht="15" hidden="false" customHeight="false" outlineLevel="0" collapsed="false">
      <c r="A18" s="10" t="s">
        <v>112</v>
      </c>
      <c r="B18" s="41" t="n">
        <f aca="false">B10+B13</f>
        <v>19884.5</v>
      </c>
      <c r="C18" s="41" t="n">
        <f aca="false">C10+C13</f>
        <v>19853.5</v>
      </c>
      <c r="D18" s="41" t="n">
        <f aca="false">D10+D13</f>
        <v>9876.75</v>
      </c>
      <c r="E18" s="41" t="n">
        <f aca="false">E10+E13</f>
        <v>9874.425</v>
      </c>
      <c r="F18" s="41" t="n">
        <f aca="false">F10+F13</f>
        <v>48907</v>
      </c>
      <c r="G18" s="41" t="n">
        <f aca="false">G10+G13</f>
        <v>148380</v>
      </c>
    </row>
    <row r="19" customFormat="false" ht="15" hidden="false" customHeight="false" outlineLevel="0" collapsed="false">
      <c r="A19" s="10" t="s">
        <v>113</v>
      </c>
      <c r="B19" s="42" t="n">
        <f aca="false">IFERROR(B18/B10,0)</f>
        <v>0.999221105527638</v>
      </c>
      <c r="C19" s="42" t="n">
        <f aca="false">IFERROR(C18/C10,0)</f>
        <v>0.997663316582915</v>
      </c>
      <c r="D19" s="42" t="n">
        <f aca="false">IFERROR(D18/D10,0)</f>
        <v>0.997651515151515</v>
      </c>
      <c r="E19" s="42" t="n">
        <f aca="false">IFERROR(E18/E10,0)</f>
        <v>0.997416666666667</v>
      </c>
      <c r="F19" s="42" t="n">
        <f aca="false">IFERROR(F18/F10,0)</f>
        <v>0.998102040816327</v>
      </c>
      <c r="G19" s="42" t="n">
        <f aca="false">IFERROR(G18/G10,0)</f>
        <v>0.995838926174497</v>
      </c>
      <c r="H19" s="2" t="s">
        <v>114</v>
      </c>
    </row>
    <row r="20" customFormat="false" ht="15" hidden="false" customHeight="false" outlineLevel="0" collapsed="false">
      <c r="A20" s="3" t="s">
        <v>115</v>
      </c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10" t="s">
        <v>105</v>
      </c>
      <c r="B21" s="36" t="n">
        <f aca="false">-B9*Допущения!$B$21</f>
        <v>-0</v>
      </c>
      <c r="C21" s="36" t="n">
        <f aca="false">-C9*Допущения!$B$21</f>
        <v>-0</v>
      </c>
      <c r="D21" s="36" t="n">
        <f aca="false">-D9*Допущения!$B$21</f>
        <v>-0</v>
      </c>
      <c r="E21" s="36" t="n">
        <f aca="false">-E9*Допущения!$B$21</f>
        <v>-0</v>
      </c>
      <c r="F21" s="36" t="n">
        <f aca="false">-F9*Допущения!$B$21</f>
        <v>-0</v>
      </c>
      <c r="G21" s="36" t="n">
        <f aca="false">-G9*Допущения!$B$21</f>
        <v>-0</v>
      </c>
      <c r="H21" s="2" t="s">
        <v>116</v>
      </c>
    </row>
    <row r="22" customFormat="false" ht="15" hidden="false" customHeight="false" outlineLevel="0" collapsed="false">
      <c r="A22" s="38" t="s">
        <v>117</v>
      </c>
      <c r="B22" s="39" t="n">
        <f aca="false">B10+B21+B14</f>
        <v>13900</v>
      </c>
      <c r="C22" s="39" t="n">
        <f aca="false">C10+C21+C14</f>
        <v>13900</v>
      </c>
      <c r="D22" s="39" t="n">
        <f aca="false">D10+D21+D14</f>
        <v>7900</v>
      </c>
      <c r="E22" s="39" t="n">
        <f aca="false">E10+E21+E14</f>
        <v>7900</v>
      </c>
      <c r="F22" s="39" t="n">
        <f aca="false">F10+F21+F14</f>
        <v>43000</v>
      </c>
      <c r="G22" s="39" t="n">
        <f aca="false">G10+G21+G14</f>
        <v>141000</v>
      </c>
    </row>
    <row r="23" customFormat="false" ht="15" hidden="false" customHeight="false" outlineLevel="0" collapsed="false">
      <c r="A23" s="38" t="s">
        <v>111</v>
      </c>
      <c r="B23" s="43" t="n">
        <f aca="false">IFERROR(B22/B10,0)</f>
        <v>0.698492462311558</v>
      </c>
      <c r="C23" s="43" t="n">
        <f aca="false">IFERROR(C22/C10,0)</f>
        <v>0.698492462311558</v>
      </c>
      <c r="D23" s="43" t="n">
        <f aca="false">IFERROR(D22/D10,0)</f>
        <v>0.797979797979798</v>
      </c>
      <c r="E23" s="43" t="n">
        <f aca="false">IFERROR(E22/E10,0)</f>
        <v>0.797979797979798</v>
      </c>
      <c r="F23" s="43" t="n">
        <f aca="false">IFERROR(F22/F10,0)</f>
        <v>0.877551020408163</v>
      </c>
      <c r="G23" s="43" t="n">
        <f aca="false">IFERROR(G22/G10,0)</f>
        <v>0.946308724832215</v>
      </c>
      <c r="H23" s="2" t="s">
        <v>118</v>
      </c>
    </row>
    <row r="24" customFormat="false" ht="15" hidden="false" customHeight="false" outlineLevel="0" collapsed="false">
      <c r="A24" s="3" t="s">
        <v>119</v>
      </c>
      <c r="B24" s="3"/>
      <c r="C24" s="3"/>
      <c r="D24" s="3"/>
      <c r="E24" s="3"/>
      <c r="F24" s="3"/>
      <c r="G24" s="3"/>
      <c r="H24" s="3"/>
    </row>
    <row r="25" customFormat="false" ht="15" hidden="false" customHeight="false" outlineLevel="0" collapsed="false">
      <c r="A25" s="10" t="s">
        <v>120</v>
      </c>
      <c r="B25" s="37" t="n">
        <f aca="false">B9*Допущения!$B$39</f>
        <v>20000</v>
      </c>
      <c r="C25" s="37" t="n">
        <f aca="false">C9*Допущения!$B$39</f>
        <v>60000</v>
      </c>
      <c r="D25" s="37" t="n">
        <f aca="false">D9*Допущения!$B$39</f>
        <v>30000</v>
      </c>
      <c r="E25" s="37" t="n">
        <f aca="false">E9*Допущения!$B$39</f>
        <v>33000</v>
      </c>
      <c r="F25" s="37" t="n">
        <f aca="false">F9*Допущения!$B$39</f>
        <v>120000</v>
      </c>
      <c r="G25" s="37" t="n">
        <f aca="false">G9*Допущения!$B$39</f>
        <v>800000</v>
      </c>
      <c r="H25" s="2" t="s">
        <v>121</v>
      </c>
    </row>
    <row r="26" customFormat="false" ht="15" hidden="false" customHeight="false" outlineLevel="0" collapsed="false">
      <c r="A26" s="10" t="s">
        <v>122</v>
      </c>
      <c r="B26" s="41" t="n">
        <f aca="false">B25-B10</f>
        <v>100</v>
      </c>
      <c r="C26" s="41" t="n">
        <f aca="false">C25-C10</f>
        <v>40100</v>
      </c>
      <c r="D26" s="41" t="n">
        <f aca="false">D25-D10</f>
        <v>20100</v>
      </c>
      <c r="E26" s="41" t="n">
        <f aca="false">E25-E10</f>
        <v>23100</v>
      </c>
      <c r="F26" s="41" t="n">
        <f aca="false">F25-F10</f>
        <v>71000</v>
      </c>
      <c r="G26" s="41" t="n">
        <f aca="false">G25-G10</f>
        <v>651000</v>
      </c>
    </row>
    <row r="27" customFormat="false" ht="15" hidden="false" customHeight="false" outlineLevel="0" collapsed="false">
      <c r="A27" s="33" t="s">
        <v>123</v>
      </c>
      <c r="B27" s="44" t="n">
        <f aca="false">IFERROR(B25/B10,0)</f>
        <v>1.00502512562814</v>
      </c>
      <c r="C27" s="44" t="n">
        <f aca="false">IFERROR(C25/C10,0)</f>
        <v>3.01507537688442</v>
      </c>
      <c r="D27" s="44" t="n">
        <f aca="false">IFERROR(D25/D10,0)</f>
        <v>3.03030303030303</v>
      </c>
      <c r="E27" s="44" t="n">
        <f aca="false">IFERROR(E25/E10,0)</f>
        <v>3.33333333333333</v>
      </c>
      <c r="F27" s="44" t="n">
        <f aca="false">IFERROR(F25/F10,0)</f>
        <v>2.44897959183673</v>
      </c>
      <c r="G27" s="44" t="n">
        <f aca="false">IFERROR(G25/G10,0)</f>
        <v>5.36912751677852</v>
      </c>
    </row>
    <row r="28" customFormat="false" ht="35.05" hidden="false" customHeight="false" outlineLevel="0" collapsed="false">
      <c r="A28" s="38" t="s">
        <v>124</v>
      </c>
      <c r="B28" s="45" t="str">
        <f aca="false">IF(B27&gt;=3,"Сильная",IF(B27&gt;=1.5,"Приемлемая","СЛАБАЯ — цена сопоставима с ручным трудом"))</f>
        <v>СЛАБАЯ — цена сопоставима с ручным трудом</v>
      </c>
      <c r="C28" s="45" t="str">
        <f aca="false">IF(C27&gt;=3,"Сильная",IF(C27&gt;=1.5,"Приемлемая","СЛАБАЯ — цена сопоставима с ручным трудом"))</f>
        <v>Сильная</v>
      </c>
      <c r="D28" s="45" t="str">
        <f aca="false">IF(D27&gt;=3,"Сильная",IF(D27&gt;=1.5,"Приемлемая","СЛАБАЯ — цена сопоставима с ручным трудом"))</f>
        <v>Сильная</v>
      </c>
      <c r="E28" s="45" t="str">
        <f aca="false">IF(E27&gt;=3,"Сильная",IF(E27&gt;=1.5,"Приемлемая","СЛАБАЯ — цена сопоставима с ручным трудом"))</f>
        <v>Сильная</v>
      </c>
      <c r="F28" s="45" t="str">
        <f aca="false">IF(F27&gt;=3,"Сильная",IF(F27&gt;=1.5,"Приемлемая","СЛАБАЯ — цена сопоставима с ручным трудом"))</f>
        <v>Приемлемая</v>
      </c>
      <c r="G28" s="45" t="str">
        <f aca="false">IF(G27&gt;=3,"Сильная",IF(G27&gt;=1.5,"Приемлемая","СЛАБАЯ — цена сопоставима с ручным трудом"))</f>
        <v>Сильная</v>
      </c>
      <c r="H28" s="2" t="s">
        <v>125</v>
      </c>
    </row>
    <row r="29" customFormat="false" ht="15" hidden="false" customHeight="false" outlineLevel="0" collapsed="false">
      <c r="A29" s="10" t="s">
        <v>126</v>
      </c>
      <c r="B29" s="41" t="n">
        <f aca="false">B9*Допущения!$B$37-B10</f>
        <v>-9900</v>
      </c>
      <c r="C29" s="41" t="n">
        <f aca="false">C9*Допущения!$B$37-C10</f>
        <v>10100</v>
      </c>
      <c r="D29" s="41" t="n">
        <f aca="false">D9*Допущения!$B$37-D10</f>
        <v>5100</v>
      </c>
      <c r="E29" s="41" t="n">
        <f aca="false">E9*Допущения!$B$37-E10</f>
        <v>6600</v>
      </c>
      <c r="F29" s="41" t="n">
        <f aca="false">F9*Допущения!$B$37-F10</f>
        <v>11000</v>
      </c>
      <c r="G29" s="41" t="n">
        <f aca="false">G9*Допущения!$B$37-G10</f>
        <v>251000</v>
      </c>
      <c r="H29" s="2" t="s">
        <v>127</v>
      </c>
    </row>
    <row r="31" customFormat="false" ht="16.15" hidden="false" customHeight="false" outlineLevel="0" collapsed="false">
      <c r="A31" s="1" t="s">
        <v>128</v>
      </c>
    </row>
    <row r="32" customFormat="false" ht="27.75" hidden="false" customHeight="true" outlineLevel="0" collapsed="false">
      <c r="A32" s="46" t="s">
        <v>129</v>
      </c>
      <c r="B32" s="46"/>
      <c r="C32" s="46"/>
      <c r="D32" s="46"/>
      <c r="E32" s="46"/>
      <c r="F32" s="46"/>
      <c r="G32" s="46"/>
      <c r="H32" s="46"/>
    </row>
    <row r="33" customFormat="false" ht="27.75" hidden="false" customHeight="true" outlineLevel="0" collapsed="false">
      <c r="A33" s="46" t="s">
        <v>130</v>
      </c>
      <c r="B33" s="46"/>
      <c r="C33" s="46"/>
      <c r="D33" s="46"/>
      <c r="E33" s="46"/>
      <c r="F33" s="46"/>
      <c r="G33" s="46"/>
      <c r="H33" s="46"/>
    </row>
    <row r="34" customFormat="false" ht="27.75" hidden="false" customHeight="true" outlineLevel="0" collapsed="false">
      <c r="A34" s="46" t="s">
        <v>131</v>
      </c>
      <c r="B34" s="46"/>
      <c r="C34" s="46"/>
      <c r="D34" s="46"/>
      <c r="E34" s="46"/>
      <c r="F34" s="46"/>
      <c r="G34" s="46"/>
      <c r="H34" s="46"/>
    </row>
  </sheetData>
  <mergeCells count="3">
    <mergeCell ref="A32:H32"/>
    <mergeCell ref="A33:H33"/>
    <mergeCell ref="A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9"/>
    <col collapsed="false" customWidth="true" hidden="false" outlineLevel="0" max="8" min="8" style="0" width="55"/>
  </cols>
  <sheetData>
    <row r="1" customFormat="false" ht="16.1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" t="s">
        <v>133</v>
      </c>
    </row>
    <row r="4" customFormat="false" ht="15" hidden="false" customHeight="false" outlineLevel="0" collapsed="false">
      <c r="A4" s="4" t="s">
        <v>134</v>
      </c>
      <c r="B4" s="25" t="n">
        <v>500</v>
      </c>
      <c r="C4" s="6" t="s">
        <v>38</v>
      </c>
      <c r="H4" s="2" t="s">
        <v>135</v>
      </c>
    </row>
    <row r="6" customFormat="false" ht="45.75" hidden="false" customHeight="true" outlineLevel="0" collapsed="false">
      <c r="A6" s="28" t="s">
        <v>136</v>
      </c>
      <c r="B6" s="28" t="s">
        <v>137</v>
      </c>
      <c r="C6" s="28" t="s">
        <v>138</v>
      </c>
      <c r="D6" s="28" t="s">
        <v>139</v>
      </c>
      <c r="E6" s="28" t="s">
        <v>140</v>
      </c>
      <c r="F6" s="28" t="s">
        <v>141</v>
      </c>
      <c r="G6" s="28" t="s">
        <v>142</v>
      </c>
      <c r="H6" s="9" t="s">
        <v>88</v>
      </c>
    </row>
    <row r="7" customFormat="false" ht="15" hidden="false" customHeight="false" outlineLevel="0" collapsed="false">
      <c r="A7" s="30" t="n">
        <v>1</v>
      </c>
      <c r="B7" s="41" t="n">
        <f aca="false">Допущения!$B$22/$A7+1*Допущения!$B$28+$B$4*Допущения!$B$23</f>
        <v>10015.5</v>
      </c>
      <c r="C7" s="41" t="n">
        <f aca="false">Допущения!$B$22/$A7+2*Допущения!$B$28+$B$4*Допущения!$B$23</f>
        <v>12015.5</v>
      </c>
      <c r="D7" s="41" t="n">
        <f aca="false">Допущения!$B$22/$A7+3*Допущения!$B$28+$B$4*Допущения!$B$23</f>
        <v>14015.5</v>
      </c>
      <c r="E7" s="41" t="n">
        <f aca="false">Допущения!$B$22/$A7+4*Допущения!$B$28+$B$4*Допущения!$B$23</f>
        <v>16015.5</v>
      </c>
      <c r="F7" s="41" t="n">
        <f aca="false">Допущения!$B$20/$A7+3*Допущения!$B$28+$B$4*Допущения!$B$21</f>
        <v>41000</v>
      </c>
      <c r="G7" s="41" t="n">
        <f aca="false">Допущения!$B$22/$A7+$B$4*Допущения!$B$23</f>
        <v>8015.5</v>
      </c>
      <c r="H7" s="2" t="s">
        <v>143</v>
      </c>
    </row>
    <row r="8" customFormat="false" ht="15" hidden="false" customHeight="false" outlineLevel="0" collapsed="false">
      <c r="A8" s="30" t="n">
        <v>2</v>
      </c>
      <c r="B8" s="41" t="n">
        <f aca="false">Допущения!$B$22/$A8+1*Допущения!$B$28+$B$4*Допущения!$B$23</f>
        <v>6015.5</v>
      </c>
      <c r="C8" s="41" t="n">
        <f aca="false">Допущения!$B$22/$A8+2*Допущения!$B$28+$B$4*Допущения!$B$23</f>
        <v>8015.5</v>
      </c>
      <c r="D8" s="41" t="n">
        <f aca="false">Допущения!$B$22/$A8+3*Допущения!$B$28+$B$4*Допущения!$B$23</f>
        <v>10015.5</v>
      </c>
      <c r="E8" s="41" t="n">
        <f aca="false">Допущения!$B$22/$A8+4*Допущения!$B$28+$B$4*Допущения!$B$23</f>
        <v>12015.5</v>
      </c>
      <c r="F8" s="41" t="n">
        <f aca="false">Допущения!$B$20/$A8+3*Допущения!$B$28+$B$4*Допущения!$B$21</f>
        <v>23500</v>
      </c>
      <c r="G8" s="41" t="n">
        <f aca="false">Допущения!$B$22/$A8+$B$4*Допущения!$B$23</f>
        <v>4015.5</v>
      </c>
    </row>
    <row r="9" customFormat="false" ht="15" hidden="false" customHeight="false" outlineLevel="0" collapsed="false">
      <c r="A9" s="30" t="n">
        <v>3</v>
      </c>
      <c r="B9" s="41" t="n">
        <f aca="false">Допущения!$B$22/$A9+1*Допущения!$B$28+$B$4*Допущения!$B$23</f>
        <v>4682.16666666667</v>
      </c>
      <c r="C9" s="41" t="n">
        <f aca="false">Допущения!$B$22/$A9+2*Допущения!$B$28+$B$4*Допущения!$B$23</f>
        <v>6682.16666666667</v>
      </c>
      <c r="D9" s="41" t="n">
        <f aca="false">Допущения!$B$22/$A9+3*Допущения!$B$28+$B$4*Допущения!$B$23</f>
        <v>8682.16666666667</v>
      </c>
      <c r="E9" s="41" t="n">
        <f aca="false">Допущения!$B$22/$A9+4*Допущения!$B$28+$B$4*Допущения!$B$23</f>
        <v>10682.1666666667</v>
      </c>
      <c r="F9" s="41" t="n">
        <f aca="false">Допущения!$B$20/$A9+3*Допущения!$B$28+$B$4*Допущения!$B$21</f>
        <v>17666.6666666667</v>
      </c>
      <c r="G9" s="41" t="n">
        <f aca="false">Допущения!$B$22/$A9+$B$4*Допущения!$B$23</f>
        <v>2682.16666666667</v>
      </c>
    </row>
    <row r="10" customFormat="false" ht="15" hidden="false" customHeight="false" outlineLevel="0" collapsed="false">
      <c r="A10" s="30" t="n">
        <v>4</v>
      </c>
      <c r="B10" s="41" t="n">
        <f aca="false">Допущения!$B$22/$A10+1*Допущения!$B$28+$B$4*Допущения!$B$23</f>
        <v>4015.5</v>
      </c>
      <c r="C10" s="41" t="n">
        <f aca="false">Допущения!$B$22/$A10+2*Допущения!$B$28+$B$4*Допущения!$B$23</f>
        <v>6015.5</v>
      </c>
      <c r="D10" s="41" t="n">
        <f aca="false">Допущения!$B$22/$A10+3*Допущения!$B$28+$B$4*Допущения!$B$23</f>
        <v>8015.5</v>
      </c>
      <c r="E10" s="41" t="n">
        <f aca="false">Допущения!$B$22/$A10+4*Допущения!$B$28+$B$4*Допущения!$B$23</f>
        <v>10015.5</v>
      </c>
      <c r="F10" s="41" t="n">
        <f aca="false">Допущения!$B$20/$A10+3*Допущения!$B$28+$B$4*Допущения!$B$21</f>
        <v>14750</v>
      </c>
      <c r="G10" s="41" t="n">
        <f aca="false">Допущения!$B$22/$A10+$B$4*Допущения!$B$23</f>
        <v>2015.5</v>
      </c>
    </row>
    <row r="11" customFormat="false" ht="15" hidden="false" customHeight="false" outlineLevel="0" collapsed="false">
      <c r="A11" s="30" t="n">
        <v>5</v>
      </c>
      <c r="B11" s="41" t="n">
        <f aca="false">Допущения!$B$22/$A11+1*Допущения!$B$28+$B$4*Допущения!$B$23</f>
        <v>3615.5</v>
      </c>
      <c r="C11" s="41" t="n">
        <f aca="false">Допущения!$B$22/$A11+2*Допущения!$B$28+$B$4*Допущения!$B$23</f>
        <v>5615.5</v>
      </c>
      <c r="D11" s="41" t="n">
        <f aca="false">Допущения!$B$22/$A11+3*Допущения!$B$28+$B$4*Допущения!$B$23</f>
        <v>7615.5</v>
      </c>
      <c r="E11" s="41" t="n">
        <f aca="false">Допущения!$B$22/$A11+4*Допущения!$B$28+$B$4*Допущения!$B$23</f>
        <v>9615.5</v>
      </c>
      <c r="F11" s="41" t="n">
        <f aca="false">Допущения!$B$20/$A11+3*Допущения!$B$28+$B$4*Допущения!$B$21</f>
        <v>13000</v>
      </c>
      <c r="G11" s="41" t="n">
        <f aca="false">Допущения!$B$22/$A11+$B$4*Допущения!$B$23</f>
        <v>1615.5</v>
      </c>
    </row>
    <row r="12" customFormat="false" ht="15" hidden="false" customHeight="false" outlineLevel="0" collapsed="false">
      <c r="A12" s="30" t="n">
        <v>7</v>
      </c>
      <c r="B12" s="41" t="n">
        <f aca="false">Допущения!$B$22/$A12+1*Допущения!$B$28+$B$4*Допущения!$B$23</f>
        <v>3158.35714285714</v>
      </c>
      <c r="C12" s="41" t="n">
        <f aca="false">Допущения!$B$22/$A12+2*Допущения!$B$28+$B$4*Допущения!$B$23</f>
        <v>5158.35714285714</v>
      </c>
      <c r="D12" s="41" t="n">
        <f aca="false">Допущения!$B$22/$A12+3*Допущения!$B$28+$B$4*Допущения!$B$23</f>
        <v>7158.35714285714</v>
      </c>
      <c r="E12" s="41" t="n">
        <f aca="false">Допущения!$B$22/$A12+4*Допущения!$B$28+$B$4*Допущения!$B$23</f>
        <v>9158.35714285714</v>
      </c>
      <c r="F12" s="41" t="n">
        <f aca="false">Допущения!$B$20/$A12+3*Допущения!$B$28+$B$4*Допущения!$B$21</f>
        <v>11000</v>
      </c>
      <c r="G12" s="41" t="n">
        <f aca="false">Допущения!$B$22/$A12+$B$4*Допущения!$B$23</f>
        <v>1158.35714285714</v>
      </c>
    </row>
    <row r="13" customFormat="false" ht="15" hidden="false" customHeight="false" outlineLevel="0" collapsed="false">
      <c r="A13" s="30" t="n">
        <v>10</v>
      </c>
      <c r="B13" s="41" t="n">
        <f aca="false">Допущения!$B$22/$A13+1*Допущения!$B$28+$B$4*Допущения!$B$23</f>
        <v>2815.5</v>
      </c>
      <c r="C13" s="41" t="n">
        <f aca="false">Допущения!$B$22/$A13+2*Допущения!$B$28+$B$4*Допущения!$B$23</f>
        <v>4815.5</v>
      </c>
      <c r="D13" s="41" t="n">
        <f aca="false">Допущения!$B$22/$A13+3*Допущения!$B$28+$B$4*Допущения!$B$23</f>
        <v>6815.5</v>
      </c>
      <c r="E13" s="41" t="n">
        <f aca="false">Допущения!$B$22/$A13+4*Допущения!$B$28+$B$4*Допущения!$B$23</f>
        <v>8815.5</v>
      </c>
      <c r="F13" s="41" t="n">
        <f aca="false">Допущения!$B$20/$A13+3*Допущения!$B$28+$B$4*Допущения!$B$21</f>
        <v>9500</v>
      </c>
      <c r="G13" s="41" t="n">
        <f aca="false">Допущения!$B$22/$A13+$B$4*Допущения!$B$23</f>
        <v>815.5</v>
      </c>
      <c r="H13" s="2" t="s">
        <v>144</v>
      </c>
    </row>
    <row r="15" customFormat="false" ht="16.15" hidden="false" customHeight="false" outlineLevel="0" collapsed="false">
      <c r="A15" s="1" t="s">
        <v>145</v>
      </c>
    </row>
    <row r="16" customFormat="false" ht="31.5" hidden="false" customHeight="true" outlineLevel="0" collapsed="false">
      <c r="A16" s="46" t="s">
        <v>146</v>
      </c>
      <c r="B16" s="46"/>
      <c r="C16" s="46"/>
      <c r="D16" s="46"/>
      <c r="E16" s="46"/>
      <c r="F16" s="46"/>
      <c r="G16" s="46"/>
      <c r="H16" s="46"/>
    </row>
    <row r="17" customFormat="false" ht="31.5" hidden="false" customHeight="true" outlineLevel="0" collapsed="false">
      <c r="A17" s="46" t="s">
        <v>147</v>
      </c>
      <c r="B17" s="46"/>
      <c r="C17" s="46"/>
      <c r="D17" s="46"/>
      <c r="E17" s="46"/>
      <c r="F17" s="46"/>
      <c r="G17" s="46"/>
      <c r="H17" s="46"/>
    </row>
    <row r="18" customFormat="false" ht="31.5" hidden="false" customHeight="true" outlineLevel="0" collapsed="false">
      <c r="A18" s="46" t="s">
        <v>148</v>
      </c>
      <c r="B18" s="46"/>
      <c r="C18" s="46"/>
      <c r="D18" s="46"/>
      <c r="E18" s="46"/>
      <c r="F18" s="46"/>
      <c r="G18" s="46"/>
      <c r="H18" s="46"/>
    </row>
    <row r="19" customFormat="false" ht="31.5" hidden="false" customHeight="true" outlineLevel="0" collapsed="false">
      <c r="A19" s="46" t="s">
        <v>149</v>
      </c>
      <c r="B19" s="46"/>
      <c r="C19" s="46"/>
      <c r="D19" s="46"/>
      <c r="E19" s="46"/>
      <c r="F19" s="46"/>
      <c r="G19" s="46"/>
      <c r="H19" s="46"/>
    </row>
    <row r="20" customFormat="false" ht="31.5" hidden="false" customHeight="true" outlineLevel="0" collapsed="false">
      <c r="A20" s="46" t="s">
        <v>150</v>
      </c>
      <c r="B20" s="46"/>
      <c r="C20" s="46"/>
      <c r="D20" s="46"/>
      <c r="E20" s="46"/>
      <c r="F20" s="46"/>
      <c r="G20" s="46"/>
      <c r="H20" s="46"/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13" min="2" style="0" width="12"/>
    <col collapsed="false" customWidth="true" hidden="false" outlineLevel="0" max="14" min="14" style="0" width="15"/>
    <col collapsed="false" customWidth="true" hidden="false" outlineLevel="0" max="15" min="15" style="0" width="42"/>
  </cols>
  <sheetData>
    <row r="1" customFormat="false" ht="16.15" hidden="false" customHeight="false" outlineLevel="0" collapsed="false">
      <c r="A1" s="1" t="s">
        <v>151</v>
      </c>
    </row>
    <row r="2" customFormat="false" ht="15" hidden="false" customHeight="false" outlineLevel="0" collapsed="false">
      <c r="A2" s="2" t="s">
        <v>152</v>
      </c>
    </row>
    <row r="4" customFormat="false" ht="15" hidden="false" customHeight="false" outlineLevel="0" collapsed="false">
      <c r="A4" s="7" t="s">
        <v>153</v>
      </c>
      <c r="B4" s="25" t="n">
        <v>3</v>
      </c>
      <c r="O4" s="2" t="s">
        <v>154</v>
      </c>
    </row>
    <row r="5" customFormat="false" ht="15" hidden="false" customHeight="false" outlineLevel="0" collapsed="false">
      <c r="A5" s="4" t="s">
        <v>155</v>
      </c>
      <c r="B5" s="47" t="n">
        <f aca="false">INDEX(Юнит_экономика!$B$10:$G$10,$B$4)</f>
        <v>9900</v>
      </c>
    </row>
    <row r="6" customFormat="false" ht="15" hidden="false" customHeight="false" outlineLevel="0" collapsed="false">
      <c r="A6" s="4" t="s">
        <v>156</v>
      </c>
      <c r="B6" s="48" t="n">
        <f aca="false">-INDEX(Юнит_экономика!$B$13:$G$13,$B$4)</f>
        <v>23.25</v>
      </c>
    </row>
    <row r="7" customFormat="false" ht="15" hidden="false" customHeight="false" outlineLevel="0" collapsed="false">
      <c r="A7" s="4" t="s">
        <v>157</v>
      </c>
      <c r="B7" s="47" t="n">
        <f aca="false">-INDEX(Юнит_экономика!$B$14:$G$14,$B$4)</f>
        <v>2000</v>
      </c>
    </row>
    <row r="9" customFormat="false" ht="15" hidden="false" customHeight="false" outlineLevel="0" collapsed="false">
      <c r="A9" s="3" t="s">
        <v>158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9" t="s">
        <v>159</v>
      </c>
    </row>
    <row r="10" customFormat="false" ht="15" hidden="false" customHeight="false" outlineLevel="0" collapsed="false">
      <c r="A10" s="50" t="s">
        <v>160</v>
      </c>
      <c r="B10" s="9" t="s">
        <v>161</v>
      </c>
      <c r="C10" s="9" t="s">
        <v>162</v>
      </c>
      <c r="D10" s="9" t="s">
        <v>163</v>
      </c>
      <c r="E10" s="9" t="s">
        <v>164</v>
      </c>
      <c r="F10" s="9" t="s">
        <v>165</v>
      </c>
      <c r="G10" s="9" t="s">
        <v>166</v>
      </c>
      <c r="H10" s="9" t="s">
        <v>167</v>
      </c>
      <c r="I10" s="9" t="s">
        <v>168</v>
      </c>
      <c r="J10" s="9" t="s">
        <v>169</v>
      </c>
      <c r="K10" s="9" t="s">
        <v>170</v>
      </c>
      <c r="L10" s="9" t="s">
        <v>171</v>
      </c>
      <c r="M10" s="9" t="s">
        <v>172</v>
      </c>
      <c r="N10" s="9" t="s">
        <v>173</v>
      </c>
    </row>
    <row r="11" customFormat="false" ht="15" hidden="false" customHeight="false" outlineLevel="0" collapsed="false">
      <c r="A11" s="38" t="s">
        <v>174</v>
      </c>
      <c r="B11" s="30" t="n">
        <v>0</v>
      </c>
      <c r="C11" s="30" t="n">
        <v>0</v>
      </c>
      <c r="D11" s="30" t="n">
        <v>1</v>
      </c>
      <c r="E11" s="30" t="n">
        <v>1</v>
      </c>
      <c r="F11" s="30" t="n">
        <v>1</v>
      </c>
      <c r="G11" s="30" t="n">
        <v>1</v>
      </c>
      <c r="H11" s="30" t="n">
        <v>1</v>
      </c>
      <c r="I11" s="30" t="n">
        <v>2</v>
      </c>
      <c r="J11" s="30" t="n">
        <v>2</v>
      </c>
      <c r="K11" s="30" t="n">
        <v>2</v>
      </c>
      <c r="L11" s="30" t="n">
        <v>2</v>
      </c>
      <c r="M11" s="30" t="n">
        <v>2</v>
      </c>
      <c r="N11" s="51" t="n">
        <f aca="false">MAX(B11:M11)</f>
        <v>2</v>
      </c>
      <c r="O11" s="2" t="s">
        <v>175</v>
      </c>
    </row>
    <row r="12" customFormat="false" ht="15" hidden="false" customHeight="false" outlineLevel="0" collapsed="false">
      <c r="A12" s="33" t="s">
        <v>176</v>
      </c>
      <c r="B12" s="34" t="n">
        <f aca="false">$B$5*B11</f>
        <v>0</v>
      </c>
      <c r="C12" s="34" t="n">
        <f aca="false">$B$5*C11</f>
        <v>0</v>
      </c>
      <c r="D12" s="34" t="n">
        <f aca="false">$B$5*D11</f>
        <v>9900</v>
      </c>
      <c r="E12" s="34" t="n">
        <f aca="false">$B$5*E11</f>
        <v>9900</v>
      </c>
      <c r="F12" s="34" t="n">
        <f aca="false">$B$5*F11</f>
        <v>9900</v>
      </c>
      <c r="G12" s="34" t="n">
        <f aca="false">$B$5*G11</f>
        <v>9900</v>
      </c>
      <c r="H12" s="34" t="n">
        <f aca="false">$B$5*H11</f>
        <v>9900</v>
      </c>
      <c r="I12" s="34" t="n">
        <f aca="false">$B$5*I11</f>
        <v>19800</v>
      </c>
      <c r="J12" s="34" t="n">
        <f aca="false">$B$5*J11</f>
        <v>19800</v>
      </c>
      <c r="K12" s="34" t="n">
        <f aca="false">$B$5*K11</f>
        <v>19800</v>
      </c>
      <c r="L12" s="34" t="n">
        <f aca="false">$B$5*L11</f>
        <v>19800</v>
      </c>
      <c r="M12" s="34" t="n">
        <f aca="false">$B$5*M11</f>
        <v>19800</v>
      </c>
      <c r="N12" s="34" t="n">
        <f aca="false">SUM(B12:M12)</f>
        <v>148500</v>
      </c>
    </row>
    <row r="13" customFormat="false" ht="15" hidden="false" customHeight="false" outlineLevel="0" collapsed="false">
      <c r="A13" s="10" t="s">
        <v>177</v>
      </c>
      <c r="B13" s="35" t="n">
        <f aca="false">-$B$6*B11</f>
        <v>-0</v>
      </c>
      <c r="C13" s="35" t="n">
        <f aca="false">-$B$6*C11</f>
        <v>-0</v>
      </c>
      <c r="D13" s="35" t="n">
        <f aca="false">-$B$6*D11</f>
        <v>-23.25</v>
      </c>
      <c r="E13" s="35" t="n">
        <f aca="false">-$B$6*E11</f>
        <v>-23.25</v>
      </c>
      <c r="F13" s="35" t="n">
        <f aca="false">-$B$6*F11</f>
        <v>-23.25</v>
      </c>
      <c r="G13" s="35" t="n">
        <f aca="false">-$B$6*G11</f>
        <v>-23.25</v>
      </c>
      <c r="H13" s="35" t="n">
        <f aca="false">-$B$6*H11</f>
        <v>-23.25</v>
      </c>
      <c r="I13" s="35" t="n">
        <f aca="false">-$B$6*I11</f>
        <v>-46.5</v>
      </c>
      <c r="J13" s="35" t="n">
        <f aca="false">-$B$6*J11</f>
        <v>-46.5</v>
      </c>
      <c r="K13" s="35" t="n">
        <f aca="false">-$B$6*K11</f>
        <v>-46.5</v>
      </c>
      <c r="L13" s="35" t="n">
        <f aca="false">-$B$6*L11</f>
        <v>-46.5</v>
      </c>
      <c r="M13" s="35" t="n">
        <f aca="false">-$B$6*M11</f>
        <v>-46.5</v>
      </c>
      <c r="N13" s="35" t="n">
        <f aca="false">SUM(B13:M13)</f>
        <v>-348.75</v>
      </c>
    </row>
    <row r="14" customFormat="false" ht="15" hidden="false" customHeight="false" outlineLevel="0" collapsed="false">
      <c r="A14" s="10" t="s">
        <v>178</v>
      </c>
      <c r="B14" s="41" t="n">
        <f aca="false">-Допущения!$B$22</f>
        <v>-8000</v>
      </c>
      <c r="C14" s="41" t="n">
        <f aca="false">-Допущения!$B$22</f>
        <v>-8000</v>
      </c>
      <c r="D14" s="41" t="n">
        <f aca="false">-Допущения!$B$22</f>
        <v>-8000</v>
      </c>
      <c r="E14" s="41" t="n">
        <f aca="false">-Допущения!$B$22</f>
        <v>-8000</v>
      </c>
      <c r="F14" s="41" t="n">
        <f aca="false">-Допущения!$B$22</f>
        <v>-8000</v>
      </c>
      <c r="G14" s="41" t="n">
        <f aca="false">-Допущения!$B$22</f>
        <v>-8000</v>
      </c>
      <c r="H14" s="41" t="n">
        <f aca="false">-Допущения!$B$22</f>
        <v>-8000</v>
      </c>
      <c r="I14" s="41" t="n">
        <f aca="false">-Допущения!$B$22</f>
        <v>-8000</v>
      </c>
      <c r="J14" s="41" t="n">
        <f aca="false">-Допущения!$B$22</f>
        <v>-8000</v>
      </c>
      <c r="K14" s="41" t="n">
        <f aca="false">-Допущения!$B$22</f>
        <v>-8000</v>
      </c>
      <c r="L14" s="41" t="n">
        <f aca="false">-Допущения!$B$22</f>
        <v>-8000</v>
      </c>
      <c r="M14" s="41" t="n">
        <f aca="false">-Допущения!$B$22</f>
        <v>-8000</v>
      </c>
      <c r="N14" s="41" t="n">
        <f aca="false">SUM(B14:M14)</f>
        <v>-96000</v>
      </c>
    </row>
    <row r="15" customFormat="false" ht="15" hidden="false" customHeight="false" outlineLevel="0" collapsed="false">
      <c r="A15" s="10" t="s">
        <v>179</v>
      </c>
      <c r="B15" s="41" t="n">
        <f aca="false">-Допущения!$B$45</f>
        <v>-0</v>
      </c>
      <c r="C15" s="41" t="n">
        <f aca="false">-Допущения!$B$45</f>
        <v>-0</v>
      </c>
      <c r="D15" s="41" t="n">
        <f aca="false">-Допущения!$B$45</f>
        <v>-0</v>
      </c>
      <c r="E15" s="41" t="n">
        <f aca="false">-Допущения!$B$45</f>
        <v>-0</v>
      </c>
      <c r="F15" s="41" t="n">
        <f aca="false">-Допущения!$B$45</f>
        <v>-0</v>
      </c>
      <c r="G15" s="41" t="n">
        <f aca="false">-Допущения!$B$45</f>
        <v>-0</v>
      </c>
      <c r="H15" s="41" t="n">
        <f aca="false">-Допущения!$B$45</f>
        <v>-0</v>
      </c>
      <c r="I15" s="41" t="n">
        <f aca="false">-Допущения!$B$45</f>
        <v>-0</v>
      </c>
      <c r="J15" s="41" t="n">
        <f aca="false">-Допущения!$B$45</f>
        <v>-0</v>
      </c>
      <c r="K15" s="41" t="n">
        <f aca="false">-Допущения!$B$45</f>
        <v>-0</v>
      </c>
      <c r="L15" s="41" t="n">
        <f aca="false">-Допущения!$B$45</f>
        <v>-0</v>
      </c>
      <c r="M15" s="41" t="n">
        <f aca="false">-Допущения!$B$45</f>
        <v>-0</v>
      </c>
      <c r="N15" s="41" t="n">
        <f aca="false">SUM(B15:M15)</f>
        <v>0</v>
      </c>
    </row>
    <row r="16" customFormat="false" ht="15" hidden="false" customHeight="false" outlineLevel="0" collapsed="false">
      <c r="A16" s="33" t="s">
        <v>180</v>
      </c>
      <c r="B16" s="34" t="n">
        <f aca="false">SUM(B12:B15)</f>
        <v>-8000</v>
      </c>
      <c r="C16" s="34" t="n">
        <f aca="false">SUM(C12:C15)</f>
        <v>-8000</v>
      </c>
      <c r="D16" s="34" t="n">
        <f aca="false">SUM(D12:D15)</f>
        <v>1876.75</v>
      </c>
      <c r="E16" s="34" t="n">
        <f aca="false">SUM(E12:E15)</f>
        <v>1876.75</v>
      </c>
      <c r="F16" s="34" t="n">
        <f aca="false">SUM(F12:F15)</f>
        <v>1876.75</v>
      </c>
      <c r="G16" s="34" t="n">
        <f aca="false">SUM(G12:G15)</f>
        <v>1876.75</v>
      </c>
      <c r="H16" s="34" t="n">
        <f aca="false">SUM(H12:H15)</f>
        <v>1876.75</v>
      </c>
      <c r="I16" s="34" t="n">
        <f aca="false">SUM(I12:I15)</f>
        <v>11753.5</v>
      </c>
      <c r="J16" s="34" t="n">
        <f aca="false">SUM(J12:J15)</f>
        <v>11753.5</v>
      </c>
      <c r="K16" s="34" t="n">
        <f aca="false">SUM(K12:K15)</f>
        <v>11753.5</v>
      </c>
      <c r="L16" s="34" t="n">
        <f aca="false">SUM(L12:L15)</f>
        <v>11753.5</v>
      </c>
      <c r="M16" s="34" t="n">
        <f aca="false">SUM(M12:M15)</f>
        <v>11753.5</v>
      </c>
      <c r="N16" s="34" t="n">
        <f aca="false">SUM(B16:M16)</f>
        <v>52151.25</v>
      </c>
    </row>
    <row r="17" customFormat="false" ht="15" hidden="false" customHeight="false" outlineLevel="0" collapsed="false">
      <c r="A17" s="10" t="s">
        <v>181</v>
      </c>
      <c r="B17" s="41" t="n">
        <f aca="false">-$B$7*B11</f>
        <v>-0</v>
      </c>
      <c r="C17" s="41" t="n">
        <f aca="false">-$B$7*C11</f>
        <v>-0</v>
      </c>
      <c r="D17" s="41" t="n">
        <f aca="false">-$B$7*D11</f>
        <v>-2000</v>
      </c>
      <c r="E17" s="41" t="n">
        <f aca="false">-$B$7*E11</f>
        <v>-2000</v>
      </c>
      <c r="F17" s="41" t="n">
        <f aca="false">-$B$7*F11</f>
        <v>-2000</v>
      </c>
      <c r="G17" s="41" t="n">
        <f aca="false">-$B$7*G11</f>
        <v>-2000</v>
      </c>
      <c r="H17" s="41" t="n">
        <f aca="false">-$B$7*H11</f>
        <v>-2000</v>
      </c>
      <c r="I17" s="41" t="n">
        <f aca="false">-$B$7*I11</f>
        <v>-4000</v>
      </c>
      <c r="J17" s="41" t="n">
        <f aca="false">-$B$7*J11</f>
        <v>-4000</v>
      </c>
      <c r="K17" s="41" t="n">
        <f aca="false">-$B$7*K11</f>
        <v>-4000</v>
      </c>
      <c r="L17" s="41" t="n">
        <f aca="false">-$B$7*L11</f>
        <v>-4000</v>
      </c>
      <c r="M17" s="41" t="n">
        <f aca="false">-$B$7*M11</f>
        <v>-4000</v>
      </c>
      <c r="N17" s="41" t="n">
        <f aca="false">SUM(B17:M17)</f>
        <v>-30000</v>
      </c>
    </row>
    <row r="18" customFormat="false" ht="15" hidden="false" customHeight="false" outlineLevel="0" collapsed="false">
      <c r="A18" s="33" t="s">
        <v>182</v>
      </c>
      <c r="B18" s="34" t="n">
        <f aca="false">B16+B17</f>
        <v>-8000</v>
      </c>
      <c r="C18" s="34" t="n">
        <f aca="false">C16+C17</f>
        <v>-8000</v>
      </c>
      <c r="D18" s="34" t="n">
        <f aca="false">D16+D17</f>
        <v>-123.25</v>
      </c>
      <c r="E18" s="34" t="n">
        <f aca="false">E16+E17</f>
        <v>-123.25</v>
      </c>
      <c r="F18" s="34" t="n">
        <f aca="false">F16+F17</f>
        <v>-123.25</v>
      </c>
      <c r="G18" s="34" t="n">
        <f aca="false">G16+G17</f>
        <v>-123.25</v>
      </c>
      <c r="H18" s="34" t="n">
        <f aca="false">H16+H17</f>
        <v>-123.25</v>
      </c>
      <c r="I18" s="34" t="n">
        <f aca="false">I16+I17</f>
        <v>7753.5</v>
      </c>
      <c r="J18" s="34" t="n">
        <f aca="false">J16+J17</f>
        <v>7753.5</v>
      </c>
      <c r="K18" s="34" t="n">
        <f aca="false">K16+K17</f>
        <v>7753.5</v>
      </c>
      <c r="L18" s="34" t="n">
        <f aca="false">L16+L17</f>
        <v>7753.5</v>
      </c>
      <c r="M18" s="34" t="n">
        <f aca="false">M16+M17</f>
        <v>7753.5</v>
      </c>
      <c r="N18" s="34" t="n">
        <f aca="false">SUM(B18:M18)</f>
        <v>22151.25</v>
      </c>
    </row>
    <row r="19" customFormat="false" ht="15" hidden="false" customHeight="false" outlineLevel="0" collapsed="false">
      <c r="A19" s="38" t="s">
        <v>183</v>
      </c>
      <c r="B19" s="39" t="n">
        <f aca="false">B18</f>
        <v>-8000</v>
      </c>
      <c r="C19" s="39" t="n">
        <f aca="false">B19+C18</f>
        <v>-16000</v>
      </c>
      <c r="D19" s="39" t="n">
        <f aca="false">C19+D18</f>
        <v>-16123.25</v>
      </c>
      <c r="E19" s="39" t="n">
        <f aca="false">D19+E18</f>
        <v>-16246.5</v>
      </c>
      <c r="F19" s="39" t="n">
        <f aca="false">E19+F18</f>
        <v>-16369.75</v>
      </c>
      <c r="G19" s="39" t="n">
        <f aca="false">F19+G18</f>
        <v>-16493</v>
      </c>
      <c r="H19" s="39" t="n">
        <f aca="false">G19+H18</f>
        <v>-16616.25</v>
      </c>
      <c r="I19" s="39" t="n">
        <f aca="false">H19+I18</f>
        <v>-8862.75</v>
      </c>
      <c r="J19" s="39" t="n">
        <f aca="false">I19+J18</f>
        <v>-1109.25</v>
      </c>
      <c r="K19" s="39" t="n">
        <f aca="false">J19+K18</f>
        <v>6644.25</v>
      </c>
      <c r="L19" s="39" t="n">
        <f aca="false">K19+L18</f>
        <v>14397.75</v>
      </c>
      <c r="M19" s="39" t="n">
        <f aca="false">L19+M18</f>
        <v>22151.25</v>
      </c>
      <c r="N19" s="39" t="n">
        <f aca="false">M19</f>
        <v>22151.25</v>
      </c>
    </row>
    <row r="20" customFormat="false" ht="15" hidden="false" customHeight="false" outlineLevel="0" collapsed="false">
      <c r="A20" s="10" t="s">
        <v>184</v>
      </c>
      <c r="B20" s="35" t="n">
        <f aca="false">-Допущения!$B$21*Юнит_экономика!$B$9*B11</f>
        <v>-0</v>
      </c>
      <c r="C20" s="35" t="n">
        <f aca="false">-Допущения!$B$21*Юнит_экономика!$B$9*C11</f>
        <v>-0</v>
      </c>
      <c r="D20" s="35" t="n">
        <f aca="false">-Допущения!$B$21*Юнит_экономика!$B$9*D11</f>
        <v>-0</v>
      </c>
      <c r="E20" s="35" t="n">
        <f aca="false">-Допущения!$B$21*Юнит_экономика!$B$9*E11</f>
        <v>-0</v>
      </c>
      <c r="F20" s="35" t="n">
        <f aca="false">-Допущения!$B$21*Юнит_экономика!$B$9*F11</f>
        <v>-0</v>
      </c>
      <c r="G20" s="35" t="n">
        <f aca="false">-Допущения!$B$21*Юнит_экономика!$B$9*G11</f>
        <v>-0</v>
      </c>
      <c r="H20" s="35" t="n">
        <f aca="false">-Допущения!$B$21*Юнит_экономика!$B$9*H11</f>
        <v>-0</v>
      </c>
      <c r="I20" s="35" t="n">
        <f aca="false">-Допущения!$B$21*Юнит_экономика!$B$9*I11</f>
        <v>-0</v>
      </c>
      <c r="J20" s="35" t="n">
        <f aca="false">-Допущения!$B$21*Юнит_экономика!$B$9*J11</f>
        <v>-0</v>
      </c>
      <c r="K20" s="35" t="n">
        <f aca="false">-Допущения!$B$21*Юнит_экономика!$B$9*K11</f>
        <v>-0</v>
      </c>
      <c r="L20" s="35" t="n">
        <f aca="false">-Допущения!$B$21*Юнит_экономика!$B$9*L11</f>
        <v>-0</v>
      </c>
      <c r="M20" s="35" t="n">
        <f aca="false">-Допущения!$B$21*Юнит_экономика!$B$9*M11</f>
        <v>-0</v>
      </c>
      <c r="N20" s="35" t="n">
        <f aca="false">SUM(B20:M20)</f>
        <v>0</v>
      </c>
    </row>
    <row r="21" customFormat="false" ht="15" hidden="false" customHeight="false" outlineLevel="0" collapsed="false">
      <c r="A21" s="10" t="s">
        <v>185</v>
      </c>
      <c r="B21" s="41" t="n">
        <f aca="false">-Допущения!$B$20</f>
        <v>-35000</v>
      </c>
      <c r="C21" s="41" t="n">
        <f aca="false">-Допущения!$B$20</f>
        <v>-35000</v>
      </c>
      <c r="D21" s="41" t="n">
        <f aca="false">-Допущения!$B$20</f>
        <v>-35000</v>
      </c>
      <c r="E21" s="41" t="n">
        <f aca="false">-Допущения!$B$20</f>
        <v>-35000</v>
      </c>
      <c r="F21" s="41" t="n">
        <f aca="false">-Допущения!$B$20</f>
        <v>-35000</v>
      </c>
      <c r="G21" s="41" t="n">
        <f aca="false">-Допущения!$B$20</f>
        <v>-35000</v>
      </c>
      <c r="H21" s="41" t="n">
        <f aca="false">-Допущения!$B$20</f>
        <v>-35000</v>
      </c>
      <c r="I21" s="41" t="n">
        <f aca="false">-Допущения!$B$20</f>
        <v>-35000</v>
      </c>
      <c r="J21" s="41" t="n">
        <f aca="false">-Допущения!$B$20</f>
        <v>-35000</v>
      </c>
      <c r="K21" s="41" t="n">
        <f aca="false">-Допущения!$B$20</f>
        <v>-35000</v>
      </c>
      <c r="L21" s="41" t="n">
        <f aca="false">-Допущения!$B$20</f>
        <v>-35000</v>
      </c>
      <c r="M21" s="41" t="n">
        <f aca="false">-Допущения!$B$20</f>
        <v>-35000</v>
      </c>
      <c r="N21" s="41" t="n">
        <f aca="false">SUM(B21:M21)</f>
        <v>-420000</v>
      </c>
    </row>
    <row r="22" customFormat="false" ht="15" hidden="false" customHeight="false" outlineLevel="0" collapsed="false">
      <c r="A22" s="38" t="s">
        <v>186</v>
      </c>
      <c r="B22" s="39" t="n">
        <f aca="false">B12+B20+B21+B15</f>
        <v>-35000</v>
      </c>
      <c r="C22" s="39" t="n">
        <f aca="false">C12+C20+C21+C15</f>
        <v>-35000</v>
      </c>
      <c r="D22" s="39" t="n">
        <f aca="false">D12+D20+D21+D15</f>
        <v>-25100</v>
      </c>
      <c r="E22" s="39" t="n">
        <f aca="false">E12+E20+E21+E15</f>
        <v>-25100</v>
      </c>
      <c r="F22" s="39" t="n">
        <f aca="false">F12+F20+F21+F15</f>
        <v>-25100</v>
      </c>
      <c r="G22" s="39" t="n">
        <f aca="false">G12+G20+G21+G15</f>
        <v>-25100</v>
      </c>
      <c r="H22" s="39" t="n">
        <f aca="false">H12+H20+H21+H15</f>
        <v>-25100</v>
      </c>
      <c r="I22" s="39" t="n">
        <f aca="false">I12+I20+I21+I15</f>
        <v>-15200</v>
      </c>
      <c r="J22" s="39" t="n">
        <f aca="false">J12+J20+J21+J15</f>
        <v>-15200</v>
      </c>
      <c r="K22" s="39" t="n">
        <f aca="false">K12+K20+K21+K15</f>
        <v>-15200</v>
      </c>
      <c r="L22" s="39" t="n">
        <f aca="false">L12+L20+L21+L15</f>
        <v>-15200</v>
      </c>
      <c r="M22" s="39" t="n">
        <f aca="false">M12+M20+M21+M15</f>
        <v>-15200</v>
      </c>
      <c r="N22" s="39" t="n">
        <f aca="false">SUM(B22:M22)</f>
        <v>-271500</v>
      </c>
    </row>
    <row r="23" customFormat="false" ht="15" hidden="false" customHeight="false" outlineLevel="0" collapsed="false">
      <c r="A23" s="38" t="s">
        <v>187</v>
      </c>
      <c r="B23" s="39" t="n">
        <f aca="false">B22+B17</f>
        <v>-35000</v>
      </c>
      <c r="C23" s="39" t="n">
        <f aca="false">C22+C17</f>
        <v>-35000</v>
      </c>
      <c r="D23" s="39" t="n">
        <f aca="false">D22+D17</f>
        <v>-27100</v>
      </c>
      <c r="E23" s="39" t="n">
        <f aca="false">E22+E17</f>
        <v>-27100</v>
      </c>
      <c r="F23" s="39" t="n">
        <f aca="false">F22+F17</f>
        <v>-27100</v>
      </c>
      <c r="G23" s="39" t="n">
        <f aca="false">G22+G17</f>
        <v>-27100</v>
      </c>
      <c r="H23" s="39" t="n">
        <f aca="false">H22+H17</f>
        <v>-27100</v>
      </c>
      <c r="I23" s="39" t="n">
        <f aca="false">I22+I17</f>
        <v>-19200</v>
      </c>
      <c r="J23" s="39" t="n">
        <f aca="false">J22+J17</f>
        <v>-19200</v>
      </c>
      <c r="K23" s="39" t="n">
        <f aca="false">K22+K17</f>
        <v>-19200</v>
      </c>
      <c r="L23" s="39" t="n">
        <f aca="false">L22+L17</f>
        <v>-19200</v>
      </c>
      <c r="M23" s="39" t="n">
        <f aca="false">M22+M17</f>
        <v>-19200</v>
      </c>
      <c r="N23" s="39" t="n">
        <f aca="false">SUM(B23:M23)</f>
        <v>-301500</v>
      </c>
    </row>
    <row r="24" customFormat="false" ht="15" hidden="false" customHeight="false" outlineLevel="0" collapsed="false">
      <c r="A24" s="38" t="s">
        <v>188</v>
      </c>
      <c r="B24" s="39" t="n">
        <f aca="false">B23</f>
        <v>-35000</v>
      </c>
      <c r="C24" s="39" t="n">
        <f aca="false">B24+C23</f>
        <v>-70000</v>
      </c>
      <c r="D24" s="39" t="n">
        <f aca="false">C24+D23</f>
        <v>-97100</v>
      </c>
      <c r="E24" s="39" t="n">
        <f aca="false">D24+E23</f>
        <v>-124200</v>
      </c>
      <c r="F24" s="39" t="n">
        <f aca="false">E24+F23</f>
        <v>-151300</v>
      </c>
      <c r="G24" s="39" t="n">
        <f aca="false">F24+G23</f>
        <v>-178400</v>
      </c>
      <c r="H24" s="39" t="n">
        <f aca="false">G24+H23</f>
        <v>-205500</v>
      </c>
      <c r="I24" s="39" t="n">
        <f aca="false">H24+I23</f>
        <v>-224700</v>
      </c>
      <c r="J24" s="39" t="n">
        <f aca="false">I24+J23</f>
        <v>-243900</v>
      </c>
      <c r="K24" s="39" t="n">
        <f aca="false">J24+K23</f>
        <v>-263100</v>
      </c>
      <c r="L24" s="39" t="n">
        <f aca="false">K24+L23</f>
        <v>-282300</v>
      </c>
      <c r="M24" s="39" t="n">
        <f aca="false">L24+M23</f>
        <v>-301500</v>
      </c>
      <c r="N24" s="39" t="n">
        <f aca="false">M24</f>
        <v>-301500</v>
      </c>
    </row>
    <row r="25" customFormat="false" ht="15" hidden="false" customHeight="false" outlineLevel="0" collapsed="false">
      <c r="A25" s="10" t="s">
        <v>189</v>
      </c>
      <c r="B25" s="41" t="n">
        <f aca="false">B18-B23</f>
        <v>27000</v>
      </c>
      <c r="C25" s="41" t="n">
        <f aca="false">C18-C23</f>
        <v>27000</v>
      </c>
      <c r="D25" s="41" t="n">
        <f aca="false">D18-D23</f>
        <v>26976.75</v>
      </c>
      <c r="E25" s="41" t="n">
        <f aca="false">E18-E23</f>
        <v>26976.75</v>
      </c>
      <c r="F25" s="41" t="n">
        <f aca="false">F18-F23</f>
        <v>26976.75</v>
      </c>
      <c r="G25" s="41" t="n">
        <f aca="false">G18-G23</f>
        <v>26976.75</v>
      </c>
      <c r="H25" s="41" t="n">
        <f aca="false">H18-H23</f>
        <v>26976.75</v>
      </c>
      <c r="I25" s="41" t="n">
        <f aca="false">I18-I23</f>
        <v>26953.5</v>
      </c>
      <c r="J25" s="41" t="n">
        <f aca="false">J18-J23</f>
        <v>26953.5</v>
      </c>
      <c r="K25" s="41" t="n">
        <f aca="false">K18-K23</f>
        <v>26953.5</v>
      </c>
      <c r="L25" s="41" t="n">
        <f aca="false">L18-L23</f>
        <v>26953.5</v>
      </c>
      <c r="M25" s="41" t="n">
        <f aca="false">M18-M23</f>
        <v>26953.5</v>
      </c>
      <c r="N25" s="41" t="n">
        <f aca="false">SUM(B25:M25)</f>
        <v>323651.25</v>
      </c>
    </row>
    <row r="26" customFormat="false" ht="23.85" hidden="false" customHeight="false" outlineLevel="0" collapsed="false">
      <c r="A26" s="7" t="s">
        <v>190</v>
      </c>
      <c r="B26" s="6" t="n">
        <f aca="false">IF(COUNTIF(B18:M18,"&gt;0")=0,"не достигнут",13-COUNTIF(B18:M18,"&gt;0"))</f>
        <v>8</v>
      </c>
      <c r="D26" s="7" t="s">
        <v>191</v>
      </c>
      <c r="F26" s="6" t="str">
        <f aca="false">IF(COUNTIF(B23:M23,"&gt;0")=0,"не достигнут",13-COUNTIF(B23:M23,"&gt;0"))</f>
        <v>не достигнут</v>
      </c>
      <c r="O26" s="2" t="s">
        <v>192</v>
      </c>
    </row>
    <row r="28" customFormat="false" ht="15" hidden="false" customHeight="false" outlineLevel="0" collapsed="false">
      <c r="A28" s="3" t="s">
        <v>193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9" t="s">
        <v>159</v>
      </c>
    </row>
    <row r="29" customFormat="false" ht="15" hidden="false" customHeight="false" outlineLevel="0" collapsed="false">
      <c r="A29" s="50" t="s">
        <v>160</v>
      </c>
      <c r="B29" s="9" t="s">
        <v>161</v>
      </c>
      <c r="C29" s="9" t="s">
        <v>162</v>
      </c>
      <c r="D29" s="9" t="s">
        <v>163</v>
      </c>
      <c r="E29" s="9" t="s">
        <v>164</v>
      </c>
      <c r="F29" s="9" t="s">
        <v>165</v>
      </c>
      <c r="G29" s="9" t="s">
        <v>166</v>
      </c>
      <c r="H29" s="9" t="s">
        <v>167</v>
      </c>
      <c r="I29" s="9" t="s">
        <v>168</v>
      </c>
      <c r="J29" s="9" t="s">
        <v>169</v>
      </c>
      <c r="K29" s="9" t="s">
        <v>170</v>
      </c>
      <c r="L29" s="9" t="s">
        <v>171</v>
      </c>
      <c r="M29" s="9" t="s">
        <v>172</v>
      </c>
      <c r="N29" s="9" t="s">
        <v>173</v>
      </c>
    </row>
    <row r="30" customFormat="false" ht="15" hidden="false" customHeight="false" outlineLevel="0" collapsed="false">
      <c r="A30" s="38" t="s">
        <v>174</v>
      </c>
      <c r="B30" s="30" t="n">
        <v>0</v>
      </c>
      <c r="C30" s="30" t="n">
        <v>1</v>
      </c>
      <c r="D30" s="30" t="n">
        <v>1</v>
      </c>
      <c r="E30" s="30" t="n">
        <v>2</v>
      </c>
      <c r="F30" s="30" t="n">
        <v>2</v>
      </c>
      <c r="G30" s="30" t="n">
        <v>2</v>
      </c>
      <c r="H30" s="30" t="n">
        <v>3</v>
      </c>
      <c r="I30" s="30" t="n">
        <v>3</v>
      </c>
      <c r="J30" s="30" t="n">
        <v>3</v>
      </c>
      <c r="K30" s="30" t="n">
        <v>4</v>
      </c>
      <c r="L30" s="30" t="n">
        <v>4</v>
      </c>
      <c r="M30" s="30" t="n">
        <v>4</v>
      </c>
      <c r="N30" s="51" t="n">
        <f aca="false">MAX(B30:M30)</f>
        <v>4</v>
      </c>
      <c r="O30" s="2" t="s">
        <v>175</v>
      </c>
    </row>
    <row r="31" customFormat="false" ht="15" hidden="false" customHeight="false" outlineLevel="0" collapsed="false">
      <c r="A31" s="33" t="s">
        <v>176</v>
      </c>
      <c r="B31" s="34" t="n">
        <f aca="false">$B$5*B30</f>
        <v>0</v>
      </c>
      <c r="C31" s="34" t="n">
        <f aca="false">$B$5*C30</f>
        <v>9900</v>
      </c>
      <c r="D31" s="34" t="n">
        <f aca="false">$B$5*D30</f>
        <v>9900</v>
      </c>
      <c r="E31" s="34" t="n">
        <f aca="false">$B$5*E30</f>
        <v>19800</v>
      </c>
      <c r="F31" s="34" t="n">
        <f aca="false">$B$5*F30</f>
        <v>19800</v>
      </c>
      <c r="G31" s="34" t="n">
        <f aca="false">$B$5*G30</f>
        <v>19800</v>
      </c>
      <c r="H31" s="34" t="n">
        <f aca="false">$B$5*H30</f>
        <v>29700</v>
      </c>
      <c r="I31" s="34" t="n">
        <f aca="false">$B$5*I30</f>
        <v>29700</v>
      </c>
      <c r="J31" s="34" t="n">
        <f aca="false">$B$5*J30</f>
        <v>29700</v>
      </c>
      <c r="K31" s="34" t="n">
        <f aca="false">$B$5*K30</f>
        <v>39600</v>
      </c>
      <c r="L31" s="34" t="n">
        <f aca="false">$B$5*L30</f>
        <v>39600</v>
      </c>
      <c r="M31" s="34" t="n">
        <f aca="false">$B$5*M30</f>
        <v>39600</v>
      </c>
      <c r="N31" s="34" t="n">
        <f aca="false">SUM(B31:M31)</f>
        <v>287100</v>
      </c>
    </row>
    <row r="32" customFormat="false" ht="15" hidden="false" customHeight="false" outlineLevel="0" collapsed="false">
      <c r="A32" s="10" t="s">
        <v>177</v>
      </c>
      <c r="B32" s="35" t="n">
        <f aca="false">-$B$6*B30</f>
        <v>-0</v>
      </c>
      <c r="C32" s="35" t="n">
        <f aca="false">-$B$6*C30</f>
        <v>-23.25</v>
      </c>
      <c r="D32" s="35" t="n">
        <f aca="false">-$B$6*D30</f>
        <v>-23.25</v>
      </c>
      <c r="E32" s="35" t="n">
        <f aca="false">-$B$6*E30</f>
        <v>-46.5</v>
      </c>
      <c r="F32" s="35" t="n">
        <f aca="false">-$B$6*F30</f>
        <v>-46.5</v>
      </c>
      <c r="G32" s="35" t="n">
        <f aca="false">-$B$6*G30</f>
        <v>-46.5</v>
      </c>
      <c r="H32" s="35" t="n">
        <f aca="false">-$B$6*H30</f>
        <v>-69.75</v>
      </c>
      <c r="I32" s="35" t="n">
        <f aca="false">-$B$6*I30</f>
        <v>-69.75</v>
      </c>
      <c r="J32" s="35" t="n">
        <f aca="false">-$B$6*J30</f>
        <v>-69.75</v>
      </c>
      <c r="K32" s="35" t="n">
        <f aca="false">-$B$6*K30</f>
        <v>-93</v>
      </c>
      <c r="L32" s="35" t="n">
        <f aca="false">-$B$6*L30</f>
        <v>-93</v>
      </c>
      <c r="M32" s="35" t="n">
        <f aca="false">-$B$6*M30</f>
        <v>-93</v>
      </c>
      <c r="N32" s="35" t="n">
        <f aca="false">SUM(B32:M32)</f>
        <v>-674.25</v>
      </c>
    </row>
    <row r="33" customFormat="false" ht="15" hidden="false" customHeight="false" outlineLevel="0" collapsed="false">
      <c r="A33" s="10" t="s">
        <v>178</v>
      </c>
      <c r="B33" s="41" t="n">
        <f aca="false">-Допущения!$B$22</f>
        <v>-8000</v>
      </c>
      <c r="C33" s="41" t="n">
        <f aca="false">-Допущения!$B$22</f>
        <v>-8000</v>
      </c>
      <c r="D33" s="41" t="n">
        <f aca="false">-Допущения!$B$22</f>
        <v>-8000</v>
      </c>
      <c r="E33" s="41" t="n">
        <f aca="false">-Допущения!$B$22</f>
        <v>-8000</v>
      </c>
      <c r="F33" s="41" t="n">
        <f aca="false">-Допущения!$B$22</f>
        <v>-8000</v>
      </c>
      <c r="G33" s="41" t="n">
        <f aca="false">-Допущения!$B$22</f>
        <v>-8000</v>
      </c>
      <c r="H33" s="41" t="n">
        <f aca="false">-Допущения!$B$22</f>
        <v>-8000</v>
      </c>
      <c r="I33" s="41" t="n">
        <f aca="false">-Допущения!$B$22</f>
        <v>-8000</v>
      </c>
      <c r="J33" s="41" t="n">
        <f aca="false">-Допущения!$B$22</f>
        <v>-8000</v>
      </c>
      <c r="K33" s="41" t="n">
        <f aca="false">-Допущения!$B$22</f>
        <v>-8000</v>
      </c>
      <c r="L33" s="41" t="n">
        <f aca="false">-Допущения!$B$22</f>
        <v>-8000</v>
      </c>
      <c r="M33" s="41" t="n">
        <f aca="false">-Допущения!$B$22</f>
        <v>-8000</v>
      </c>
      <c r="N33" s="41" t="n">
        <f aca="false">SUM(B33:M33)</f>
        <v>-96000</v>
      </c>
    </row>
    <row r="34" customFormat="false" ht="15" hidden="false" customHeight="false" outlineLevel="0" collapsed="false">
      <c r="A34" s="10" t="s">
        <v>179</v>
      </c>
      <c r="B34" s="41" t="n">
        <f aca="false">-Допущения!$B$45</f>
        <v>-0</v>
      </c>
      <c r="C34" s="41" t="n">
        <f aca="false">-Допущения!$B$45</f>
        <v>-0</v>
      </c>
      <c r="D34" s="41" t="n">
        <f aca="false">-Допущения!$B$45</f>
        <v>-0</v>
      </c>
      <c r="E34" s="41" t="n">
        <f aca="false">-Допущения!$B$45</f>
        <v>-0</v>
      </c>
      <c r="F34" s="41" t="n">
        <f aca="false">-Допущения!$B$45</f>
        <v>-0</v>
      </c>
      <c r="G34" s="41" t="n">
        <f aca="false">-Допущения!$B$45</f>
        <v>-0</v>
      </c>
      <c r="H34" s="41" t="n">
        <f aca="false">-Допущения!$B$45</f>
        <v>-0</v>
      </c>
      <c r="I34" s="41" t="n">
        <f aca="false">-Допущения!$B$45</f>
        <v>-0</v>
      </c>
      <c r="J34" s="41" t="n">
        <f aca="false">-Допущения!$B$45</f>
        <v>-0</v>
      </c>
      <c r="K34" s="41" t="n">
        <f aca="false">-Допущения!$B$45</f>
        <v>-0</v>
      </c>
      <c r="L34" s="41" t="n">
        <f aca="false">-Допущения!$B$45</f>
        <v>-0</v>
      </c>
      <c r="M34" s="41" t="n">
        <f aca="false">-Допущения!$B$45</f>
        <v>-0</v>
      </c>
      <c r="N34" s="41" t="n">
        <f aca="false">SUM(B34:M34)</f>
        <v>0</v>
      </c>
    </row>
    <row r="35" customFormat="false" ht="15" hidden="false" customHeight="false" outlineLevel="0" collapsed="false">
      <c r="A35" s="33" t="s">
        <v>180</v>
      </c>
      <c r="B35" s="34" t="n">
        <f aca="false">SUM(B31:B34)</f>
        <v>-8000</v>
      </c>
      <c r="C35" s="34" t="n">
        <f aca="false">SUM(C31:C34)</f>
        <v>1876.75</v>
      </c>
      <c r="D35" s="34" t="n">
        <f aca="false">SUM(D31:D34)</f>
        <v>1876.75</v>
      </c>
      <c r="E35" s="34" t="n">
        <f aca="false">SUM(E31:E34)</f>
        <v>11753.5</v>
      </c>
      <c r="F35" s="34" t="n">
        <f aca="false">SUM(F31:F34)</f>
        <v>11753.5</v>
      </c>
      <c r="G35" s="34" t="n">
        <f aca="false">SUM(G31:G34)</f>
        <v>11753.5</v>
      </c>
      <c r="H35" s="34" t="n">
        <f aca="false">SUM(H31:H34)</f>
        <v>21630.25</v>
      </c>
      <c r="I35" s="34" t="n">
        <f aca="false">SUM(I31:I34)</f>
        <v>21630.25</v>
      </c>
      <c r="J35" s="34" t="n">
        <f aca="false">SUM(J31:J34)</f>
        <v>21630.25</v>
      </c>
      <c r="K35" s="34" t="n">
        <f aca="false">SUM(K31:K34)</f>
        <v>31507</v>
      </c>
      <c r="L35" s="34" t="n">
        <f aca="false">SUM(L31:L34)</f>
        <v>31507</v>
      </c>
      <c r="M35" s="34" t="n">
        <f aca="false">SUM(M31:M34)</f>
        <v>31507</v>
      </c>
      <c r="N35" s="34" t="n">
        <f aca="false">SUM(B35:M35)</f>
        <v>190425.75</v>
      </c>
    </row>
    <row r="36" customFormat="false" ht="15" hidden="false" customHeight="false" outlineLevel="0" collapsed="false">
      <c r="A36" s="10" t="s">
        <v>181</v>
      </c>
      <c r="B36" s="41" t="n">
        <f aca="false">-$B$7*B30</f>
        <v>-0</v>
      </c>
      <c r="C36" s="41" t="n">
        <f aca="false">-$B$7*C30</f>
        <v>-2000</v>
      </c>
      <c r="D36" s="41" t="n">
        <f aca="false">-$B$7*D30</f>
        <v>-2000</v>
      </c>
      <c r="E36" s="41" t="n">
        <f aca="false">-$B$7*E30</f>
        <v>-4000</v>
      </c>
      <c r="F36" s="41" t="n">
        <f aca="false">-$B$7*F30</f>
        <v>-4000</v>
      </c>
      <c r="G36" s="41" t="n">
        <f aca="false">-$B$7*G30</f>
        <v>-4000</v>
      </c>
      <c r="H36" s="41" t="n">
        <f aca="false">-$B$7*H30</f>
        <v>-6000</v>
      </c>
      <c r="I36" s="41" t="n">
        <f aca="false">-$B$7*I30</f>
        <v>-6000</v>
      </c>
      <c r="J36" s="41" t="n">
        <f aca="false">-$B$7*J30</f>
        <v>-6000</v>
      </c>
      <c r="K36" s="41" t="n">
        <f aca="false">-$B$7*K30</f>
        <v>-8000</v>
      </c>
      <c r="L36" s="41" t="n">
        <f aca="false">-$B$7*L30</f>
        <v>-8000</v>
      </c>
      <c r="M36" s="41" t="n">
        <f aca="false">-$B$7*M30</f>
        <v>-8000</v>
      </c>
      <c r="N36" s="41" t="n">
        <f aca="false">SUM(B36:M36)</f>
        <v>-58000</v>
      </c>
    </row>
    <row r="37" customFormat="false" ht="15" hidden="false" customHeight="false" outlineLevel="0" collapsed="false">
      <c r="A37" s="33" t="s">
        <v>182</v>
      </c>
      <c r="B37" s="34" t="n">
        <f aca="false">B35+B36</f>
        <v>-8000</v>
      </c>
      <c r="C37" s="34" t="n">
        <f aca="false">C35+C36</f>
        <v>-123.25</v>
      </c>
      <c r="D37" s="34" t="n">
        <f aca="false">D35+D36</f>
        <v>-123.25</v>
      </c>
      <c r="E37" s="34" t="n">
        <f aca="false">E35+E36</f>
        <v>7753.5</v>
      </c>
      <c r="F37" s="34" t="n">
        <f aca="false">F35+F36</f>
        <v>7753.5</v>
      </c>
      <c r="G37" s="34" t="n">
        <f aca="false">G35+G36</f>
        <v>7753.5</v>
      </c>
      <c r="H37" s="34" t="n">
        <f aca="false">H35+H36</f>
        <v>15630.25</v>
      </c>
      <c r="I37" s="34" t="n">
        <f aca="false">I35+I36</f>
        <v>15630.25</v>
      </c>
      <c r="J37" s="34" t="n">
        <f aca="false">J35+J36</f>
        <v>15630.25</v>
      </c>
      <c r="K37" s="34" t="n">
        <f aca="false">K35+K36</f>
        <v>23507</v>
      </c>
      <c r="L37" s="34" t="n">
        <f aca="false">L35+L36</f>
        <v>23507</v>
      </c>
      <c r="M37" s="34" t="n">
        <f aca="false">M35+M36</f>
        <v>23507</v>
      </c>
      <c r="N37" s="34" t="n">
        <f aca="false">SUM(B37:M37)</f>
        <v>132425.75</v>
      </c>
    </row>
    <row r="38" customFormat="false" ht="15" hidden="false" customHeight="false" outlineLevel="0" collapsed="false">
      <c r="A38" s="38" t="s">
        <v>183</v>
      </c>
      <c r="B38" s="39" t="n">
        <f aca="false">B37</f>
        <v>-8000</v>
      </c>
      <c r="C38" s="39" t="n">
        <f aca="false">B38+C37</f>
        <v>-8123.25</v>
      </c>
      <c r="D38" s="39" t="n">
        <f aca="false">C38+D37</f>
        <v>-8246.5</v>
      </c>
      <c r="E38" s="39" t="n">
        <f aca="false">D38+E37</f>
        <v>-493</v>
      </c>
      <c r="F38" s="39" t="n">
        <f aca="false">E38+F37</f>
        <v>7260.5</v>
      </c>
      <c r="G38" s="39" t="n">
        <f aca="false">F38+G37</f>
        <v>15014</v>
      </c>
      <c r="H38" s="39" t="n">
        <f aca="false">G38+H37</f>
        <v>30644.25</v>
      </c>
      <c r="I38" s="39" t="n">
        <f aca="false">H38+I37</f>
        <v>46274.5</v>
      </c>
      <c r="J38" s="39" t="n">
        <f aca="false">I38+J37</f>
        <v>61904.75</v>
      </c>
      <c r="K38" s="39" t="n">
        <f aca="false">J38+K37</f>
        <v>85411.75</v>
      </c>
      <c r="L38" s="39" t="n">
        <f aca="false">K38+L37</f>
        <v>108918.75</v>
      </c>
      <c r="M38" s="39" t="n">
        <f aca="false">L38+M37</f>
        <v>132425.75</v>
      </c>
      <c r="N38" s="39" t="n">
        <f aca="false">M38</f>
        <v>132425.75</v>
      </c>
    </row>
    <row r="39" customFormat="false" ht="15" hidden="false" customHeight="false" outlineLevel="0" collapsed="false">
      <c r="A39" s="10" t="s">
        <v>184</v>
      </c>
      <c r="B39" s="35" t="n">
        <f aca="false">-Допущения!$B$21*Юнит_экономика!$B$9*B30</f>
        <v>-0</v>
      </c>
      <c r="C39" s="35" t="n">
        <f aca="false">-Допущения!$B$21*Юнит_экономика!$B$9*C30</f>
        <v>-0</v>
      </c>
      <c r="D39" s="35" t="n">
        <f aca="false">-Допущения!$B$21*Юнит_экономика!$B$9*D30</f>
        <v>-0</v>
      </c>
      <c r="E39" s="35" t="n">
        <f aca="false">-Допущения!$B$21*Юнит_экономика!$B$9*E30</f>
        <v>-0</v>
      </c>
      <c r="F39" s="35" t="n">
        <f aca="false">-Допущения!$B$21*Юнит_экономика!$B$9*F30</f>
        <v>-0</v>
      </c>
      <c r="G39" s="35" t="n">
        <f aca="false">-Допущения!$B$21*Юнит_экономика!$B$9*G30</f>
        <v>-0</v>
      </c>
      <c r="H39" s="35" t="n">
        <f aca="false">-Допущения!$B$21*Юнит_экономика!$B$9*H30</f>
        <v>-0</v>
      </c>
      <c r="I39" s="35" t="n">
        <f aca="false">-Допущения!$B$21*Юнит_экономика!$B$9*I30</f>
        <v>-0</v>
      </c>
      <c r="J39" s="35" t="n">
        <f aca="false">-Допущения!$B$21*Юнит_экономика!$B$9*J30</f>
        <v>-0</v>
      </c>
      <c r="K39" s="35" t="n">
        <f aca="false">-Допущения!$B$21*Юнит_экономика!$B$9*K30</f>
        <v>-0</v>
      </c>
      <c r="L39" s="35" t="n">
        <f aca="false">-Допущения!$B$21*Юнит_экономика!$B$9*L30</f>
        <v>-0</v>
      </c>
      <c r="M39" s="35" t="n">
        <f aca="false">-Допущения!$B$21*Юнит_экономика!$B$9*M30</f>
        <v>-0</v>
      </c>
      <c r="N39" s="35" t="n">
        <f aca="false">SUM(B39:M39)</f>
        <v>0</v>
      </c>
    </row>
    <row r="40" customFormat="false" ht="15" hidden="false" customHeight="false" outlineLevel="0" collapsed="false">
      <c r="A40" s="10" t="s">
        <v>185</v>
      </c>
      <c r="B40" s="41" t="n">
        <f aca="false">-Допущения!$B$20</f>
        <v>-35000</v>
      </c>
      <c r="C40" s="41" t="n">
        <f aca="false">-Допущения!$B$20</f>
        <v>-35000</v>
      </c>
      <c r="D40" s="41" t="n">
        <f aca="false">-Допущения!$B$20</f>
        <v>-35000</v>
      </c>
      <c r="E40" s="41" t="n">
        <f aca="false">-Допущения!$B$20</f>
        <v>-35000</v>
      </c>
      <c r="F40" s="41" t="n">
        <f aca="false">-Допущения!$B$20</f>
        <v>-35000</v>
      </c>
      <c r="G40" s="41" t="n">
        <f aca="false">-Допущения!$B$20</f>
        <v>-35000</v>
      </c>
      <c r="H40" s="41" t="n">
        <f aca="false">-Допущения!$B$20</f>
        <v>-35000</v>
      </c>
      <c r="I40" s="41" t="n">
        <f aca="false">-Допущения!$B$20</f>
        <v>-35000</v>
      </c>
      <c r="J40" s="41" t="n">
        <f aca="false">-Допущения!$B$20</f>
        <v>-35000</v>
      </c>
      <c r="K40" s="41" t="n">
        <f aca="false">-Допущения!$B$20</f>
        <v>-35000</v>
      </c>
      <c r="L40" s="41" t="n">
        <f aca="false">-Допущения!$B$20</f>
        <v>-35000</v>
      </c>
      <c r="M40" s="41" t="n">
        <f aca="false">-Допущения!$B$20</f>
        <v>-35000</v>
      </c>
      <c r="N40" s="41" t="n">
        <f aca="false">SUM(B40:M40)</f>
        <v>-420000</v>
      </c>
    </row>
    <row r="41" customFormat="false" ht="15" hidden="false" customHeight="false" outlineLevel="0" collapsed="false">
      <c r="A41" s="38" t="s">
        <v>186</v>
      </c>
      <c r="B41" s="39" t="n">
        <f aca="false">B31+B39+B40+B34</f>
        <v>-35000</v>
      </c>
      <c r="C41" s="39" t="n">
        <f aca="false">C31+C39+C40+C34</f>
        <v>-25100</v>
      </c>
      <c r="D41" s="39" t="n">
        <f aca="false">D31+D39+D40+D34</f>
        <v>-25100</v>
      </c>
      <c r="E41" s="39" t="n">
        <f aca="false">E31+E39+E40+E34</f>
        <v>-15200</v>
      </c>
      <c r="F41" s="39" t="n">
        <f aca="false">F31+F39+F40+F34</f>
        <v>-15200</v>
      </c>
      <c r="G41" s="39" t="n">
        <f aca="false">G31+G39+G40+G34</f>
        <v>-15200</v>
      </c>
      <c r="H41" s="39" t="n">
        <f aca="false">H31+H39+H40+H34</f>
        <v>-5300</v>
      </c>
      <c r="I41" s="39" t="n">
        <f aca="false">I31+I39+I40+I34</f>
        <v>-5300</v>
      </c>
      <c r="J41" s="39" t="n">
        <f aca="false">J31+J39+J40+J34</f>
        <v>-5300</v>
      </c>
      <c r="K41" s="39" t="n">
        <f aca="false">K31+K39+K40+K34</f>
        <v>4600</v>
      </c>
      <c r="L41" s="39" t="n">
        <f aca="false">L31+L39+L40+L34</f>
        <v>4600</v>
      </c>
      <c r="M41" s="39" t="n">
        <f aca="false">M31+M39+M40+M34</f>
        <v>4600</v>
      </c>
      <c r="N41" s="39" t="n">
        <f aca="false">SUM(B41:M41)</f>
        <v>-132900</v>
      </c>
    </row>
    <row r="42" customFormat="false" ht="15" hidden="false" customHeight="false" outlineLevel="0" collapsed="false">
      <c r="A42" s="38" t="s">
        <v>187</v>
      </c>
      <c r="B42" s="39" t="n">
        <f aca="false">B41+B36</f>
        <v>-35000</v>
      </c>
      <c r="C42" s="39" t="n">
        <f aca="false">C41+C36</f>
        <v>-27100</v>
      </c>
      <c r="D42" s="39" t="n">
        <f aca="false">D41+D36</f>
        <v>-27100</v>
      </c>
      <c r="E42" s="39" t="n">
        <f aca="false">E41+E36</f>
        <v>-19200</v>
      </c>
      <c r="F42" s="39" t="n">
        <f aca="false">F41+F36</f>
        <v>-19200</v>
      </c>
      <c r="G42" s="39" t="n">
        <f aca="false">G41+G36</f>
        <v>-19200</v>
      </c>
      <c r="H42" s="39" t="n">
        <f aca="false">H41+H36</f>
        <v>-11300</v>
      </c>
      <c r="I42" s="39" t="n">
        <f aca="false">I41+I36</f>
        <v>-11300</v>
      </c>
      <c r="J42" s="39" t="n">
        <f aca="false">J41+J36</f>
        <v>-11300</v>
      </c>
      <c r="K42" s="39" t="n">
        <f aca="false">K41+K36</f>
        <v>-3400</v>
      </c>
      <c r="L42" s="39" t="n">
        <f aca="false">L41+L36</f>
        <v>-3400</v>
      </c>
      <c r="M42" s="39" t="n">
        <f aca="false">M41+M36</f>
        <v>-3400</v>
      </c>
      <c r="N42" s="39" t="n">
        <f aca="false">SUM(B42:M42)</f>
        <v>-190900</v>
      </c>
    </row>
    <row r="43" customFormat="false" ht="15" hidden="false" customHeight="false" outlineLevel="0" collapsed="false">
      <c r="A43" s="38" t="s">
        <v>188</v>
      </c>
      <c r="B43" s="39" t="n">
        <f aca="false">B42</f>
        <v>-35000</v>
      </c>
      <c r="C43" s="39" t="n">
        <f aca="false">B43+C42</f>
        <v>-62100</v>
      </c>
      <c r="D43" s="39" t="n">
        <f aca="false">C43+D42</f>
        <v>-89200</v>
      </c>
      <c r="E43" s="39" t="n">
        <f aca="false">D43+E42</f>
        <v>-108400</v>
      </c>
      <c r="F43" s="39" t="n">
        <f aca="false">E43+F42</f>
        <v>-127600</v>
      </c>
      <c r="G43" s="39" t="n">
        <f aca="false">F43+G42</f>
        <v>-146800</v>
      </c>
      <c r="H43" s="39" t="n">
        <f aca="false">G43+H42</f>
        <v>-158100</v>
      </c>
      <c r="I43" s="39" t="n">
        <f aca="false">H43+I42</f>
        <v>-169400</v>
      </c>
      <c r="J43" s="39" t="n">
        <f aca="false">I43+J42</f>
        <v>-180700</v>
      </c>
      <c r="K43" s="39" t="n">
        <f aca="false">J43+K42</f>
        <v>-184100</v>
      </c>
      <c r="L43" s="39" t="n">
        <f aca="false">K43+L42</f>
        <v>-187500</v>
      </c>
      <c r="M43" s="39" t="n">
        <f aca="false">L43+M42</f>
        <v>-190900</v>
      </c>
      <c r="N43" s="39" t="n">
        <f aca="false">M43</f>
        <v>-190900</v>
      </c>
    </row>
    <row r="44" customFormat="false" ht="15" hidden="false" customHeight="false" outlineLevel="0" collapsed="false">
      <c r="A44" s="10" t="s">
        <v>189</v>
      </c>
      <c r="B44" s="41" t="n">
        <f aca="false">B37-B42</f>
        <v>27000</v>
      </c>
      <c r="C44" s="41" t="n">
        <f aca="false">C37-C42</f>
        <v>26976.75</v>
      </c>
      <c r="D44" s="41" t="n">
        <f aca="false">D37-D42</f>
        <v>26976.75</v>
      </c>
      <c r="E44" s="41" t="n">
        <f aca="false">E37-E42</f>
        <v>26953.5</v>
      </c>
      <c r="F44" s="41" t="n">
        <f aca="false">F37-F42</f>
        <v>26953.5</v>
      </c>
      <c r="G44" s="41" t="n">
        <f aca="false">G37-G42</f>
        <v>26953.5</v>
      </c>
      <c r="H44" s="41" t="n">
        <f aca="false">H37-H42</f>
        <v>26930.25</v>
      </c>
      <c r="I44" s="41" t="n">
        <f aca="false">I37-I42</f>
        <v>26930.25</v>
      </c>
      <c r="J44" s="41" t="n">
        <f aca="false">J37-J42</f>
        <v>26930.25</v>
      </c>
      <c r="K44" s="41" t="n">
        <f aca="false">K37-K42</f>
        <v>26907</v>
      </c>
      <c r="L44" s="41" t="n">
        <f aca="false">L37-L42</f>
        <v>26907</v>
      </c>
      <c r="M44" s="41" t="n">
        <f aca="false">M37-M42</f>
        <v>26907</v>
      </c>
      <c r="N44" s="41" t="n">
        <f aca="false">SUM(B44:M44)</f>
        <v>323325.75</v>
      </c>
    </row>
    <row r="45" customFormat="false" ht="23.85" hidden="false" customHeight="false" outlineLevel="0" collapsed="false">
      <c r="A45" s="7" t="s">
        <v>190</v>
      </c>
      <c r="B45" s="6" t="n">
        <f aca="false">IF(COUNTIF(B37:M37,"&gt;0")=0,"не достигнут",13-COUNTIF(B37:M37,"&gt;0"))</f>
        <v>4</v>
      </c>
      <c r="D45" s="7" t="s">
        <v>191</v>
      </c>
      <c r="F45" s="6" t="str">
        <f aca="false">IF(COUNTIF(B42:M42,"&gt;0")=0,"не достигнут",13-COUNTIF(B42:M42,"&gt;0"))</f>
        <v>не достигнут</v>
      </c>
      <c r="O45" s="2" t="s">
        <v>192</v>
      </c>
    </row>
    <row r="47" customFormat="false" ht="15" hidden="false" customHeight="false" outlineLevel="0" collapsed="false">
      <c r="A47" s="3" t="s">
        <v>194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49" t="s">
        <v>159</v>
      </c>
    </row>
    <row r="48" customFormat="false" ht="15" hidden="false" customHeight="false" outlineLevel="0" collapsed="false">
      <c r="A48" s="50" t="s">
        <v>160</v>
      </c>
      <c r="B48" s="9" t="s">
        <v>161</v>
      </c>
      <c r="C48" s="9" t="s">
        <v>162</v>
      </c>
      <c r="D48" s="9" t="s">
        <v>163</v>
      </c>
      <c r="E48" s="9" t="s">
        <v>164</v>
      </c>
      <c r="F48" s="9" t="s">
        <v>165</v>
      </c>
      <c r="G48" s="9" t="s">
        <v>166</v>
      </c>
      <c r="H48" s="9" t="s">
        <v>167</v>
      </c>
      <c r="I48" s="9" t="s">
        <v>168</v>
      </c>
      <c r="J48" s="9" t="s">
        <v>169</v>
      </c>
      <c r="K48" s="9" t="s">
        <v>170</v>
      </c>
      <c r="L48" s="9" t="s">
        <v>171</v>
      </c>
      <c r="M48" s="9" t="s">
        <v>172</v>
      </c>
      <c r="N48" s="9" t="s">
        <v>173</v>
      </c>
    </row>
    <row r="49" customFormat="false" ht="15" hidden="false" customHeight="false" outlineLevel="0" collapsed="false">
      <c r="A49" s="38" t="s">
        <v>174</v>
      </c>
      <c r="B49" s="30" t="n">
        <v>1</v>
      </c>
      <c r="C49" s="30" t="n">
        <v>2</v>
      </c>
      <c r="D49" s="30" t="n">
        <v>3</v>
      </c>
      <c r="E49" s="30" t="n">
        <v>4</v>
      </c>
      <c r="F49" s="30" t="n">
        <v>5</v>
      </c>
      <c r="G49" s="30" t="n">
        <v>6</v>
      </c>
      <c r="H49" s="30" t="n">
        <v>7</v>
      </c>
      <c r="I49" s="30" t="n">
        <v>8</v>
      </c>
      <c r="J49" s="30" t="n">
        <v>9</v>
      </c>
      <c r="K49" s="30" t="n">
        <v>10</v>
      </c>
      <c r="L49" s="30" t="n">
        <v>10</v>
      </c>
      <c r="M49" s="30" t="n">
        <v>10</v>
      </c>
      <c r="N49" s="51" t="n">
        <f aca="false">MAX(B49:M49)</f>
        <v>10</v>
      </c>
      <c r="O49" s="2" t="s">
        <v>175</v>
      </c>
    </row>
    <row r="50" customFormat="false" ht="15" hidden="false" customHeight="false" outlineLevel="0" collapsed="false">
      <c r="A50" s="33" t="s">
        <v>176</v>
      </c>
      <c r="B50" s="34" t="n">
        <f aca="false">$B$5*B49</f>
        <v>9900</v>
      </c>
      <c r="C50" s="34" t="n">
        <f aca="false">$B$5*C49</f>
        <v>19800</v>
      </c>
      <c r="D50" s="34" t="n">
        <f aca="false">$B$5*D49</f>
        <v>29700</v>
      </c>
      <c r="E50" s="34" t="n">
        <f aca="false">$B$5*E49</f>
        <v>39600</v>
      </c>
      <c r="F50" s="34" t="n">
        <f aca="false">$B$5*F49</f>
        <v>49500</v>
      </c>
      <c r="G50" s="34" t="n">
        <f aca="false">$B$5*G49</f>
        <v>59400</v>
      </c>
      <c r="H50" s="34" t="n">
        <f aca="false">$B$5*H49</f>
        <v>69300</v>
      </c>
      <c r="I50" s="34" t="n">
        <f aca="false">$B$5*I49</f>
        <v>79200</v>
      </c>
      <c r="J50" s="34" t="n">
        <f aca="false">$B$5*J49</f>
        <v>89100</v>
      </c>
      <c r="K50" s="34" t="n">
        <f aca="false">$B$5*K49</f>
        <v>99000</v>
      </c>
      <c r="L50" s="34" t="n">
        <f aca="false">$B$5*L49</f>
        <v>99000</v>
      </c>
      <c r="M50" s="34" t="n">
        <f aca="false">$B$5*M49</f>
        <v>99000</v>
      </c>
      <c r="N50" s="34" t="n">
        <f aca="false">SUM(B50:M50)</f>
        <v>742500</v>
      </c>
    </row>
    <row r="51" customFormat="false" ht="15" hidden="false" customHeight="false" outlineLevel="0" collapsed="false">
      <c r="A51" s="10" t="s">
        <v>177</v>
      </c>
      <c r="B51" s="35" t="n">
        <f aca="false">-$B$6*B49</f>
        <v>-23.25</v>
      </c>
      <c r="C51" s="35" t="n">
        <f aca="false">-$B$6*C49</f>
        <v>-46.5</v>
      </c>
      <c r="D51" s="35" t="n">
        <f aca="false">-$B$6*D49</f>
        <v>-69.75</v>
      </c>
      <c r="E51" s="35" t="n">
        <f aca="false">-$B$6*E49</f>
        <v>-93</v>
      </c>
      <c r="F51" s="35" t="n">
        <f aca="false">-$B$6*F49</f>
        <v>-116.25</v>
      </c>
      <c r="G51" s="35" t="n">
        <f aca="false">-$B$6*G49</f>
        <v>-139.5</v>
      </c>
      <c r="H51" s="35" t="n">
        <f aca="false">-$B$6*H49</f>
        <v>-162.75</v>
      </c>
      <c r="I51" s="35" t="n">
        <f aca="false">-$B$6*I49</f>
        <v>-186</v>
      </c>
      <c r="J51" s="35" t="n">
        <f aca="false">-$B$6*J49</f>
        <v>-209.25</v>
      </c>
      <c r="K51" s="35" t="n">
        <f aca="false">-$B$6*K49</f>
        <v>-232.5</v>
      </c>
      <c r="L51" s="35" t="n">
        <f aca="false">-$B$6*L49</f>
        <v>-232.5</v>
      </c>
      <c r="M51" s="35" t="n">
        <f aca="false">-$B$6*M49</f>
        <v>-232.5</v>
      </c>
      <c r="N51" s="35" t="n">
        <f aca="false">SUM(B51:M51)</f>
        <v>-1743.75</v>
      </c>
    </row>
    <row r="52" customFormat="false" ht="15" hidden="false" customHeight="false" outlineLevel="0" collapsed="false">
      <c r="A52" s="10" t="s">
        <v>178</v>
      </c>
      <c r="B52" s="41" t="n">
        <f aca="false">-Допущения!$B$22</f>
        <v>-8000</v>
      </c>
      <c r="C52" s="41" t="n">
        <f aca="false">-Допущения!$B$22</f>
        <v>-8000</v>
      </c>
      <c r="D52" s="41" t="n">
        <f aca="false">-Допущения!$B$22</f>
        <v>-8000</v>
      </c>
      <c r="E52" s="41" t="n">
        <f aca="false">-Допущения!$B$22</f>
        <v>-8000</v>
      </c>
      <c r="F52" s="41" t="n">
        <f aca="false">-Допущения!$B$22</f>
        <v>-8000</v>
      </c>
      <c r="G52" s="41" t="n">
        <f aca="false">-Допущения!$B$22</f>
        <v>-8000</v>
      </c>
      <c r="H52" s="41" t="n">
        <f aca="false">-Допущения!$B$22</f>
        <v>-8000</v>
      </c>
      <c r="I52" s="41" t="n">
        <f aca="false">-Допущения!$B$22</f>
        <v>-8000</v>
      </c>
      <c r="J52" s="41" t="n">
        <f aca="false">-Допущения!$B$22</f>
        <v>-8000</v>
      </c>
      <c r="K52" s="41" t="n">
        <f aca="false">-Допущения!$B$22</f>
        <v>-8000</v>
      </c>
      <c r="L52" s="41" t="n">
        <f aca="false">-Допущения!$B$22</f>
        <v>-8000</v>
      </c>
      <c r="M52" s="41" t="n">
        <f aca="false">-Допущения!$B$22</f>
        <v>-8000</v>
      </c>
      <c r="N52" s="41" t="n">
        <f aca="false">SUM(B52:M52)</f>
        <v>-96000</v>
      </c>
    </row>
    <row r="53" customFormat="false" ht="15" hidden="false" customHeight="false" outlineLevel="0" collapsed="false">
      <c r="A53" s="10" t="s">
        <v>179</v>
      </c>
      <c r="B53" s="41" t="n">
        <f aca="false">-Допущения!$B$45</f>
        <v>-0</v>
      </c>
      <c r="C53" s="41" t="n">
        <f aca="false">-Допущения!$B$45</f>
        <v>-0</v>
      </c>
      <c r="D53" s="41" t="n">
        <f aca="false">-Допущения!$B$45</f>
        <v>-0</v>
      </c>
      <c r="E53" s="41" t="n">
        <f aca="false">-Допущения!$B$45</f>
        <v>-0</v>
      </c>
      <c r="F53" s="41" t="n">
        <f aca="false">-Допущения!$B$45</f>
        <v>-0</v>
      </c>
      <c r="G53" s="41" t="n">
        <f aca="false">-Допущения!$B$45</f>
        <v>-0</v>
      </c>
      <c r="H53" s="41" t="n">
        <f aca="false">-Допущения!$B$45</f>
        <v>-0</v>
      </c>
      <c r="I53" s="41" t="n">
        <f aca="false">-Допущения!$B$45</f>
        <v>-0</v>
      </c>
      <c r="J53" s="41" t="n">
        <f aca="false">-Допущения!$B$45</f>
        <v>-0</v>
      </c>
      <c r="K53" s="41" t="n">
        <f aca="false">-Допущения!$B$45</f>
        <v>-0</v>
      </c>
      <c r="L53" s="41" t="n">
        <f aca="false">-Допущения!$B$45</f>
        <v>-0</v>
      </c>
      <c r="M53" s="41" t="n">
        <f aca="false">-Допущения!$B$45</f>
        <v>-0</v>
      </c>
      <c r="N53" s="41" t="n">
        <f aca="false">SUM(B53:M53)</f>
        <v>0</v>
      </c>
    </row>
    <row r="54" customFormat="false" ht="15" hidden="false" customHeight="false" outlineLevel="0" collapsed="false">
      <c r="A54" s="33" t="s">
        <v>180</v>
      </c>
      <c r="B54" s="34" t="n">
        <f aca="false">SUM(B50:B53)</f>
        <v>1876.75</v>
      </c>
      <c r="C54" s="34" t="n">
        <f aca="false">SUM(C50:C53)</f>
        <v>11753.5</v>
      </c>
      <c r="D54" s="34" t="n">
        <f aca="false">SUM(D50:D53)</f>
        <v>21630.25</v>
      </c>
      <c r="E54" s="34" t="n">
        <f aca="false">SUM(E50:E53)</f>
        <v>31507</v>
      </c>
      <c r="F54" s="34" t="n">
        <f aca="false">SUM(F50:F53)</f>
        <v>41383.75</v>
      </c>
      <c r="G54" s="34" t="n">
        <f aca="false">SUM(G50:G53)</f>
        <v>51260.5</v>
      </c>
      <c r="H54" s="34" t="n">
        <f aca="false">SUM(H50:H53)</f>
        <v>61137.25</v>
      </c>
      <c r="I54" s="34" t="n">
        <f aca="false">SUM(I50:I53)</f>
        <v>71014</v>
      </c>
      <c r="J54" s="34" t="n">
        <f aca="false">SUM(J50:J53)</f>
        <v>80890.75</v>
      </c>
      <c r="K54" s="34" t="n">
        <f aca="false">SUM(K50:K53)</f>
        <v>90767.5</v>
      </c>
      <c r="L54" s="34" t="n">
        <f aca="false">SUM(L50:L53)</f>
        <v>90767.5</v>
      </c>
      <c r="M54" s="34" t="n">
        <f aca="false">SUM(M50:M53)</f>
        <v>90767.5</v>
      </c>
      <c r="N54" s="34" t="n">
        <f aca="false">SUM(B54:M54)</f>
        <v>644756.25</v>
      </c>
    </row>
    <row r="55" customFormat="false" ht="15" hidden="false" customHeight="false" outlineLevel="0" collapsed="false">
      <c r="A55" s="10" t="s">
        <v>181</v>
      </c>
      <c r="B55" s="41" t="n">
        <f aca="false">-$B$7*B49</f>
        <v>-2000</v>
      </c>
      <c r="C55" s="41" t="n">
        <f aca="false">-$B$7*C49</f>
        <v>-4000</v>
      </c>
      <c r="D55" s="41" t="n">
        <f aca="false">-$B$7*D49</f>
        <v>-6000</v>
      </c>
      <c r="E55" s="41" t="n">
        <f aca="false">-$B$7*E49</f>
        <v>-8000</v>
      </c>
      <c r="F55" s="41" t="n">
        <f aca="false">-$B$7*F49</f>
        <v>-10000</v>
      </c>
      <c r="G55" s="41" t="n">
        <f aca="false">-$B$7*G49</f>
        <v>-12000</v>
      </c>
      <c r="H55" s="41" t="n">
        <f aca="false">-$B$7*H49</f>
        <v>-14000</v>
      </c>
      <c r="I55" s="41" t="n">
        <f aca="false">-$B$7*I49</f>
        <v>-16000</v>
      </c>
      <c r="J55" s="41" t="n">
        <f aca="false">-$B$7*J49</f>
        <v>-18000</v>
      </c>
      <c r="K55" s="41" t="n">
        <f aca="false">-$B$7*K49</f>
        <v>-20000</v>
      </c>
      <c r="L55" s="41" t="n">
        <f aca="false">-$B$7*L49</f>
        <v>-20000</v>
      </c>
      <c r="M55" s="41" t="n">
        <f aca="false">-$B$7*M49</f>
        <v>-20000</v>
      </c>
      <c r="N55" s="41" t="n">
        <f aca="false">SUM(B55:M55)</f>
        <v>-150000</v>
      </c>
    </row>
    <row r="56" customFormat="false" ht="15" hidden="false" customHeight="false" outlineLevel="0" collapsed="false">
      <c r="A56" s="33" t="s">
        <v>182</v>
      </c>
      <c r="B56" s="34" t="n">
        <f aca="false">B54+B55</f>
        <v>-123.25</v>
      </c>
      <c r="C56" s="34" t="n">
        <f aca="false">C54+C55</f>
        <v>7753.5</v>
      </c>
      <c r="D56" s="34" t="n">
        <f aca="false">D54+D55</f>
        <v>15630.25</v>
      </c>
      <c r="E56" s="34" t="n">
        <f aca="false">E54+E55</f>
        <v>23507</v>
      </c>
      <c r="F56" s="34" t="n">
        <f aca="false">F54+F55</f>
        <v>31383.75</v>
      </c>
      <c r="G56" s="34" t="n">
        <f aca="false">G54+G55</f>
        <v>39260.5</v>
      </c>
      <c r="H56" s="34" t="n">
        <f aca="false">H54+H55</f>
        <v>47137.25</v>
      </c>
      <c r="I56" s="34" t="n">
        <f aca="false">I54+I55</f>
        <v>55014</v>
      </c>
      <c r="J56" s="34" t="n">
        <f aca="false">J54+J55</f>
        <v>62890.75</v>
      </c>
      <c r="K56" s="34" t="n">
        <f aca="false">K54+K55</f>
        <v>70767.5</v>
      </c>
      <c r="L56" s="34" t="n">
        <f aca="false">L54+L55</f>
        <v>70767.5</v>
      </c>
      <c r="M56" s="34" t="n">
        <f aca="false">M54+M55</f>
        <v>70767.5</v>
      </c>
      <c r="N56" s="34" t="n">
        <f aca="false">SUM(B56:M56)</f>
        <v>494756.25</v>
      </c>
    </row>
    <row r="57" customFormat="false" ht="15" hidden="false" customHeight="false" outlineLevel="0" collapsed="false">
      <c r="A57" s="38" t="s">
        <v>183</v>
      </c>
      <c r="B57" s="39" t="n">
        <f aca="false">B56</f>
        <v>-123.25</v>
      </c>
      <c r="C57" s="39" t="n">
        <f aca="false">B57+C56</f>
        <v>7630.25</v>
      </c>
      <c r="D57" s="39" t="n">
        <f aca="false">C57+D56</f>
        <v>23260.5</v>
      </c>
      <c r="E57" s="39" t="n">
        <f aca="false">D57+E56</f>
        <v>46767.5</v>
      </c>
      <c r="F57" s="39" t="n">
        <f aca="false">E57+F56</f>
        <v>78151.25</v>
      </c>
      <c r="G57" s="39" t="n">
        <f aca="false">F57+G56</f>
        <v>117411.75</v>
      </c>
      <c r="H57" s="39" t="n">
        <f aca="false">G57+H56</f>
        <v>164549</v>
      </c>
      <c r="I57" s="39" t="n">
        <f aca="false">H57+I56</f>
        <v>219563</v>
      </c>
      <c r="J57" s="39" t="n">
        <f aca="false">I57+J56</f>
        <v>282453.75</v>
      </c>
      <c r="K57" s="39" t="n">
        <f aca="false">J57+K56</f>
        <v>353221.25</v>
      </c>
      <c r="L57" s="39" t="n">
        <f aca="false">K57+L56</f>
        <v>423988.75</v>
      </c>
      <c r="M57" s="39" t="n">
        <f aca="false">L57+M56</f>
        <v>494756.25</v>
      </c>
      <c r="N57" s="39" t="n">
        <f aca="false">M57</f>
        <v>494756.25</v>
      </c>
    </row>
    <row r="58" customFormat="false" ht="15" hidden="false" customHeight="false" outlineLevel="0" collapsed="false">
      <c r="A58" s="10" t="s">
        <v>184</v>
      </c>
      <c r="B58" s="35" t="n">
        <f aca="false">-Допущения!$B$21*Юнит_экономика!$B$9*B49</f>
        <v>-0</v>
      </c>
      <c r="C58" s="35" t="n">
        <f aca="false">-Допущения!$B$21*Юнит_экономика!$B$9*C49</f>
        <v>-0</v>
      </c>
      <c r="D58" s="35" t="n">
        <f aca="false">-Допущения!$B$21*Юнит_экономика!$B$9*D49</f>
        <v>-0</v>
      </c>
      <c r="E58" s="35" t="n">
        <f aca="false">-Допущения!$B$21*Юнит_экономика!$B$9*E49</f>
        <v>-0</v>
      </c>
      <c r="F58" s="35" t="n">
        <f aca="false">-Допущения!$B$21*Юнит_экономика!$B$9*F49</f>
        <v>-0</v>
      </c>
      <c r="G58" s="35" t="n">
        <f aca="false">-Допущения!$B$21*Юнит_экономика!$B$9*G49</f>
        <v>-0</v>
      </c>
      <c r="H58" s="35" t="n">
        <f aca="false">-Допущения!$B$21*Юнит_экономика!$B$9*H49</f>
        <v>-0</v>
      </c>
      <c r="I58" s="35" t="n">
        <f aca="false">-Допущения!$B$21*Юнит_экономика!$B$9*I49</f>
        <v>-0</v>
      </c>
      <c r="J58" s="35" t="n">
        <f aca="false">-Допущения!$B$21*Юнит_экономика!$B$9*J49</f>
        <v>-0</v>
      </c>
      <c r="K58" s="35" t="n">
        <f aca="false">-Допущения!$B$21*Юнит_экономика!$B$9*K49</f>
        <v>-0</v>
      </c>
      <c r="L58" s="35" t="n">
        <f aca="false">-Допущения!$B$21*Юнит_экономика!$B$9*L49</f>
        <v>-0</v>
      </c>
      <c r="M58" s="35" t="n">
        <f aca="false">-Допущения!$B$21*Юнит_экономика!$B$9*M49</f>
        <v>-0</v>
      </c>
      <c r="N58" s="35" t="n">
        <f aca="false">SUM(B58:M58)</f>
        <v>0</v>
      </c>
    </row>
    <row r="59" customFormat="false" ht="15" hidden="false" customHeight="false" outlineLevel="0" collapsed="false">
      <c r="A59" s="10" t="s">
        <v>185</v>
      </c>
      <c r="B59" s="41" t="n">
        <f aca="false">-Допущения!$B$20</f>
        <v>-35000</v>
      </c>
      <c r="C59" s="41" t="n">
        <f aca="false">-Допущения!$B$20</f>
        <v>-35000</v>
      </c>
      <c r="D59" s="41" t="n">
        <f aca="false">-Допущения!$B$20</f>
        <v>-35000</v>
      </c>
      <c r="E59" s="41" t="n">
        <f aca="false">-Допущения!$B$20</f>
        <v>-35000</v>
      </c>
      <c r="F59" s="41" t="n">
        <f aca="false">-Допущения!$B$20</f>
        <v>-35000</v>
      </c>
      <c r="G59" s="41" t="n">
        <f aca="false">-Допущения!$B$20</f>
        <v>-35000</v>
      </c>
      <c r="H59" s="41" t="n">
        <f aca="false">-Допущения!$B$20</f>
        <v>-35000</v>
      </c>
      <c r="I59" s="41" t="n">
        <f aca="false">-Допущения!$B$20</f>
        <v>-35000</v>
      </c>
      <c r="J59" s="41" t="n">
        <f aca="false">-Допущения!$B$20</f>
        <v>-35000</v>
      </c>
      <c r="K59" s="41" t="n">
        <f aca="false">-Допущения!$B$20</f>
        <v>-35000</v>
      </c>
      <c r="L59" s="41" t="n">
        <f aca="false">-Допущения!$B$20</f>
        <v>-35000</v>
      </c>
      <c r="M59" s="41" t="n">
        <f aca="false">-Допущения!$B$20</f>
        <v>-35000</v>
      </c>
      <c r="N59" s="41" t="n">
        <f aca="false">SUM(B59:M59)</f>
        <v>-420000</v>
      </c>
    </row>
    <row r="60" customFormat="false" ht="15" hidden="false" customHeight="false" outlineLevel="0" collapsed="false">
      <c r="A60" s="38" t="s">
        <v>186</v>
      </c>
      <c r="B60" s="39" t="n">
        <f aca="false">B50+B58+B59+B53</f>
        <v>-25100</v>
      </c>
      <c r="C60" s="39" t="n">
        <f aca="false">C50+C58+C59+C53</f>
        <v>-15200</v>
      </c>
      <c r="D60" s="39" t="n">
        <f aca="false">D50+D58+D59+D53</f>
        <v>-5300</v>
      </c>
      <c r="E60" s="39" t="n">
        <f aca="false">E50+E58+E59+E53</f>
        <v>4600</v>
      </c>
      <c r="F60" s="39" t="n">
        <f aca="false">F50+F58+F59+F53</f>
        <v>14500</v>
      </c>
      <c r="G60" s="39" t="n">
        <f aca="false">G50+G58+G59+G53</f>
        <v>24400</v>
      </c>
      <c r="H60" s="39" t="n">
        <f aca="false">H50+H58+H59+H53</f>
        <v>34300</v>
      </c>
      <c r="I60" s="39" t="n">
        <f aca="false">I50+I58+I59+I53</f>
        <v>44200</v>
      </c>
      <c r="J60" s="39" t="n">
        <f aca="false">J50+J58+J59+J53</f>
        <v>54100</v>
      </c>
      <c r="K60" s="39" t="n">
        <f aca="false">K50+K58+K59+K53</f>
        <v>64000</v>
      </c>
      <c r="L60" s="39" t="n">
        <f aca="false">L50+L58+L59+L53</f>
        <v>64000</v>
      </c>
      <c r="M60" s="39" t="n">
        <f aca="false">M50+M58+M59+M53</f>
        <v>64000</v>
      </c>
      <c r="N60" s="39" t="n">
        <f aca="false">SUM(B60:M60)</f>
        <v>322500</v>
      </c>
    </row>
    <row r="61" customFormat="false" ht="15" hidden="false" customHeight="false" outlineLevel="0" collapsed="false">
      <c r="A61" s="38" t="s">
        <v>187</v>
      </c>
      <c r="B61" s="39" t="n">
        <f aca="false">B60+B55</f>
        <v>-27100</v>
      </c>
      <c r="C61" s="39" t="n">
        <f aca="false">C60+C55</f>
        <v>-19200</v>
      </c>
      <c r="D61" s="39" t="n">
        <f aca="false">D60+D55</f>
        <v>-11300</v>
      </c>
      <c r="E61" s="39" t="n">
        <f aca="false">E60+E55</f>
        <v>-3400</v>
      </c>
      <c r="F61" s="39" t="n">
        <f aca="false">F60+F55</f>
        <v>4500</v>
      </c>
      <c r="G61" s="39" t="n">
        <f aca="false">G60+G55</f>
        <v>12400</v>
      </c>
      <c r="H61" s="39" t="n">
        <f aca="false">H60+H55</f>
        <v>20300</v>
      </c>
      <c r="I61" s="39" t="n">
        <f aca="false">I60+I55</f>
        <v>28200</v>
      </c>
      <c r="J61" s="39" t="n">
        <f aca="false">J60+J55</f>
        <v>36100</v>
      </c>
      <c r="K61" s="39" t="n">
        <f aca="false">K60+K55</f>
        <v>44000</v>
      </c>
      <c r="L61" s="39" t="n">
        <f aca="false">L60+L55</f>
        <v>44000</v>
      </c>
      <c r="M61" s="39" t="n">
        <f aca="false">M60+M55</f>
        <v>44000</v>
      </c>
      <c r="N61" s="39" t="n">
        <f aca="false">SUM(B61:M61)</f>
        <v>172500</v>
      </c>
    </row>
    <row r="62" customFormat="false" ht="15" hidden="false" customHeight="false" outlineLevel="0" collapsed="false">
      <c r="A62" s="38" t="s">
        <v>188</v>
      </c>
      <c r="B62" s="39" t="n">
        <f aca="false">B61</f>
        <v>-27100</v>
      </c>
      <c r="C62" s="39" t="n">
        <f aca="false">B62+C61</f>
        <v>-46300</v>
      </c>
      <c r="D62" s="39" t="n">
        <f aca="false">C62+D61</f>
        <v>-57600</v>
      </c>
      <c r="E62" s="39" t="n">
        <f aca="false">D62+E61</f>
        <v>-61000</v>
      </c>
      <c r="F62" s="39" t="n">
        <f aca="false">E62+F61</f>
        <v>-56500</v>
      </c>
      <c r="G62" s="39" t="n">
        <f aca="false">F62+G61</f>
        <v>-44100</v>
      </c>
      <c r="H62" s="39" t="n">
        <f aca="false">G62+H61</f>
        <v>-23800</v>
      </c>
      <c r="I62" s="39" t="n">
        <f aca="false">H62+I61</f>
        <v>4400</v>
      </c>
      <c r="J62" s="39" t="n">
        <f aca="false">I62+J61</f>
        <v>40500</v>
      </c>
      <c r="K62" s="39" t="n">
        <f aca="false">J62+K61</f>
        <v>84500</v>
      </c>
      <c r="L62" s="39" t="n">
        <f aca="false">K62+L61</f>
        <v>128500</v>
      </c>
      <c r="M62" s="39" t="n">
        <f aca="false">L62+M61</f>
        <v>172500</v>
      </c>
      <c r="N62" s="39" t="n">
        <f aca="false">M62</f>
        <v>172500</v>
      </c>
    </row>
    <row r="63" customFormat="false" ht="15" hidden="false" customHeight="false" outlineLevel="0" collapsed="false">
      <c r="A63" s="10" t="s">
        <v>189</v>
      </c>
      <c r="B63" s="41" t="n">
        <f aca="false">B56-B61</f>
        <v>26976.75</v>
      </c>
      <c r="C63" s="41" t="n">
        <f aca="false">C56-C61</f>
        <v>26953.5</v>
      </c>
      <c r="D63" s="41" t="n">
        <f aca="false">D56-D61</f>
        <v>26930.25</v>
      </c>
      <c r="E63" s="41" t="n">
        <f aca="false">E56-E61</f>
        <v>26907</v>
      </c>
      <c r="F63" s="41" t="n">
        <f aca="false">F56-F61</f>
        <v>26883.75</v>
      </c>
      <c r="G63" s="41" t="n">
        <f aca="false">G56-G61</f>
        <v>26860.5</v>
      </c>
      <c r="H63" s="41" t="n">
        <f aca="false">H56-H61</f>
        <v>26837.25</v>
      </c>
      <c r="I63" s="41" t="n">
        <f aca="false">I56-I61</f>
        <v>26814</v>
      </c>
      <c r="J63" s="41" t="n">
        <f aca="false">J56-J61</f>
        <v>26790.75</v>
      </c>
      <c r="K63" s="41" t="n">
        <f aca="false">K56-K61</f>
        <v>26767.5</v>
      </c>
      <c r="L63" s="41" t="n">
        <f aca="false">L56-L61</f>
        <v>26767.5</v>
      </c>
      <c r="M63" s="41" t="n">
        <f aca="false">M56-M61</f>
        <v>26767.5</v>
      </c>
      <c r="N63" s="41" t="n">
        <f aca="false">SUM(B63:M63)</f>
        <v>322256.25</v>
      </c>
    </row>
    <row r="64" customFormat="false" ht="15" hidden="false" customHeight="false" outlineLevel="0" collapsed="false">
      <c r="A64" s="7" t="s">
        <v>190</v>
      </c>
      <c r="B64" s="6" t="n">
        <f aca="false">IF(COUNTIF(B56:M56,"&gt;0")=0,"не достигнут",13-COUNTIF(B56:M56,"&gt;0"))</f>
        <v>2</v>
      </c>
      <c r="D64" s="7" t="s">
        <v>191</v>
      </c>
      <c r="F64" s="6" t="n">
        <f aca="false">IF(COUNTIF(B61:M61,"&gt;0")=0,"не достигнут",13-COUNTIF(B61:M61,"&gt;0"))</f>
        <v>5</v>
      </c>
      <c r="O64" s="2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5"/>
    <col collapsed="false" customWidth="true" hidden="false" outlineLevel="0" max="12" min="12" style="0" width="48"/>
  </cols>
  <sheetData>
    <row r="1" customFormat="false" ht="16.15" hidden="false" customHeight="false" outlineLevel="0" collapsed="false">
      <c r="A1" s="1" t="s">
        <v>195</v>
      </c>
    </row>
    <row r="2" customFormat="false" ht="15" hidden="false" customHeight="false" outlineLevel="0" collapsed="false">
      <c r="A2" s="2" t="s">
        <v>196</v>
      </c>
    </row>
    <row r="4" customFormat="false" ht="45.75" hidden="false" customHeight="true" outlineLevel="0" collapsed="false">
      <c r="A4" s="28" t="s">
        <v>197</v>
      </c>
      <c r="B4" s="28" t="s">
        <v>198</v>
      </c>
      <c r="C4" s="28" t="s">
        <v>199</v>
      </c>
      <c r="D4" s="28" t="s">
        <v>200</v>
      </c>
      <c r="E4" s="28" t="s">
        <v>201</v>
      </c>
      <c r="F4" s="28" t="s">
        <v>202</v>
      </c>
      <c r="G4" s="28" t="s">
        <v>203</v>
      </c>
      <c r="H4" s="28" t="s">
        <v>204</v>
      </c>
      <c r="I4" s="28" t="s">
        <v>205</v>
      </c>
      <c r="J4" s="28" t="s">
        <v>206</v>
      </c>
      <c r="L4" s="9" t="s">
        <v>88</v>
      </c>
    </row>
    <row r="5" customFormat="false" ht="15" hidden="false" customHeight="false" outlineLevel="0" collapsed="false">
      <c r="A5" s="10" t="s">
        <v>207</v>
      </c>
      <c r="B5" s="37" t="n">
        <f aca="false">Юнит_экономика!B10</f>
        <v>19900</v>
      </c>
      <c r="C5" s="36" t="n">
        <f aca="false">Юнит_экономика!B13</f>
        <v>-15.5</v>
      </c>
      <c r="D5" s="37" t="n">
        <f aca="false">Юнит_экономика!B14</f>
        <v>-6000</v>
      </c>
      <c r="E5" s="39" t="n">
        <f aca="false">B5+C5+D5</f>
        <v>13884.5</v>
      </c>
      <c r="F5" s="52" t="n">
        <f aca="false">IF(E5&lt;=0,"никогда",ROUNDUP(Допущения!$B$22/E5,0))</f>
        <v>1</v>
      </c>
      <c r="G5" s="41" t="n">
        <f aca="false">B5+C5</f>
        <v>19884.5</v>
      </c>
      <c r="H5" s="51" t="n">
        <f aca="false">IF(G5&lt;=0,"никогда",ROUNDUP(Допущения!$B$22/G5,0))</f>
        <v>1</v>
      </c>
      <c r="I5" s="41" t="n">
        <f aca="false">B5+D5</f>
        <v>13900</v>
      </c>
      <c r="J5" s="51" t="n">
        <f aca="false">IF(I5&lt;=0,"никогда",ROUNDUP(Допущения!$B$20/I5,0))</f>
        <v>3</v>
      </c>
      <c r="L5" s="2" t="s">
        <v>208</v>
      </c>
    </row>
    <row r="6" customFormat="false" ht="15" hidden="false" customHeight="false" outlineLevel="0" collapsed="false">
      <c r="A6" s="10" t="s">
        <v>209</v>
      </c>
      <c r="B6" s="37" t="n">
        <f aca="false">Юнит_экономика!C10</f>
        <v>19900</v>
      </c>
      <c r="C6" s="36" t="n">
        <f aca="false">Юнит_экономика!C13</f>
        <v>-46.5</v>
      </c>
      <c r="D6" s="37" t="n">
        <f aca="false">Юнит_экономика!C14</f>
        <v>-6000</v>
      </c>
      <c r="E6" s="39" t="n">
        <f aca="false">B6+C6+D6</f>
        <v>13853.5</v>
      </c>
      <c r="F6" s="52" t="n">
        <f aca="false">IF(E6&lt;=0,"никогда",ROUNDUP(Допущения!$B$22/E6,0))</f>
        <v>1</v>
      </c>
      <c r="G6" s="41" t="n">
        <f aca="false">B6+C6</f>
        <v>19853.5</v>
      </c>
      <c r="H6" s="51" t="n">
        <f aca="false">IF(G6&lt;=0,"никогда",ROUNDUP(Допущения!$B$22/G6,0))</f>
        <v>1</v>
      </c>
      <c r="I6" s="41" t="n">
        <f aca="false">B6+D6</f>
        <v>13900</v>
      </c>
      <c r="J6" s="51" t="n">
        <f aca="false">IF(I6&lt;=0,"никогда",ROUNDUP(Допущения!$B$20/I6,0))</f>
        <v>3</v>
      </c>
      <c r="L6" s="2" t="s">
        <v>210</v>
      </c>
    </row>
    <row r="7" customFormat="false" ht="15" hidden="false" customHeight="false" outlineLevel="0" collapsed="false">
      <c r="A7" s="10" t="s">
        <v>211</v>
      </c>
      <c r="B7" s="37" t="n">
        <f aca="false">Юнит_экономика!D10</f>
        <v>9900</v>
      </c>
      <c r="C7" s="36" t="n">
        <f aca="false">Юнит_экономика!D13</f>
        <v>-23.25</v>
      </c>
      <c r="D7" s="37" t="n">
        <f aca="false">Юнит_экономика!D14</f>
        <v>-2000</v>
      </c>
      <c r="E7" s="39" t="n">
        <f aca="false">B7+C7+D7</f>
        <v>7876.75</v>
      </c>
      <c r="F7" s="52" t="n">
        <f aca="false">IF(E7&lt;=0,"никогда",ROUNDUP(Допущения!$B$22/E7,0))</f>
        <v>2</v>
      </c>
      <c r="G7" s="41" t="n">
        <f aca="false">B7+C7</f>
        <v>9876.75</v>
      </c>
      <c r="H7" s="51" t="n">
        <f aca="false">IF(G7&lt;=0,"никогда",ROUNDUP(Допущения!$B$22/G7,0))</f>
        <v>1</v>
      </c>
      <c r="I7" s="41" t="n">
        <f aca="false">B7+D7</f>
        <v>7900</v>
      </c>
      <c r="J7" s="51" t="n">
        <f aca="false">IF(I7&lt;=0,"никогда",ROUNDUP(Допущения!$B$20/I7,0))</f>
        <v>5</v>
      </c>
      <c r="L7" s="2" t="s">
        <v>212</v>
      </c>
    </row>
    <row r="8" customFormat="false" ht="15" hidden="false" customHeight="false" outlineLevel="0" collapsed="false">
      <c r="A8" s="10" t="s">
        <v>213</v>
      </c>
      <c r="B8" s="37" t="n">
        <f aca="false">Юнит_экономика!E10</f>
        <v>9900</v>
      </c>
      <c r="C8" s="36" t="n">
        <f aca="false">Юнит_экономика!E13</f>
        <v>-25.575</v>
      </c>
      <c r="D8" s="37" t="n">
        <f aca="false">Юнит_экономика!E14</f>
        <v>-2000</v>
      </c>
      <c r="E8" s="39" t="n">
        <f aca="false">B8+C8+D8</f>
        <v>7874.425</v>
      </c>
      <c r="F8" s="52" t="n">
        <f aca="false">IF(E8&lt;=0,"никогда",ROUNDUP(Допущения!$B$22/E8,0))</f>
        <v>2</v>
      </c>
      <c r="G8" s="41" t="n">
        <f aca="false">B8+C8</f>
        <v>9874.425</v>
      </c>
      <c r="H8" s="51" t="n">
        <f aca="false">IF(G8&lt;=0,"никогда",ROUNDUP(Допущения!$B$22/G8,0))</f>
        <v>1</v>
      </c>
      <c r="I8" s="41" t="n">
        <f aca="false">B8+D8</f>
        <v>7900</v>
      </c>
      <c r="J8" s="51" t="n">
        <f aca="false">IF(I8&lt;=0,"никогда",ROUNDUP(Допущения!$B$20/I8,0))</f>
        <v>5</v>
      </c>
      <c r="L8" s="2" t="s">
        <v>214</v>
      </c>
    </row>
    <row r="9" customFormat="false" ht="15" hidden="false" customHeight="false" outlineLevel="0" collapsed="false">
      <c r="A9" s="10" t="s">
        <v>215</v>
      </c>
      <c r="B9" s="37" t="n">
        <f aca="false">Юнит_экономика!F10</f>
        <v>49000</v>
      </c>
      <c r="C9" s="36" t="n">
        <f aca="false">Юнит_экономика!F13</f>
        <v>-93</v>
      </c>
      <c r="D9" s="37" t="n">
        <f aca="false">Юнит_экономика!F14</f>
        <v>-6000</v>
      </c>
      <c r="E9" s="39" t="n">
        <f aca="false">B9+C9+D9</f>
        <v>42907</v>
      </c>
      <c r="F9" s="52" t="n">
        <f aca="false">IF(E9&lt;=0,"никогда",ROUNDUP(Допущения!$B$22/E9,0))</f>
        <v>1</v>
      </c>
      <c r="G9" s="41" t="n">
        <f aca="false">B9+C9</f>
        <v>48907</v>
      </c>
      <c r="H9" s="51" t="n">
        <f aca="false">IF(G9&lt;=0,"никогда",ROUNDUP(Допущения!$B$22/G9,0))</f>
        <v>1</v>
      </c>
      <c r="I9" s="41" t="n">
        <f aca="false">B9+D9</f>
        <v>43000</v>
      </c>
      <c r="J9" s="51" t="n">
        <f aca="false">IF(I9&lt;=0,"никогда",ROUNDUP(Допущения!$B$20/I9,0))</f>
        <v>1</v>
      </c>
    </row>
    <row r="10" customFormat="false" ht="15" hidden="false" customHeight="false" outlineLevel="0" collapsed="false">
      <c r="A10" s="10" t="s">
        <v>216</v>
      </c>
      <c r="B10" s="37" t="n">
        <f aca="false">Юнит_экономика!G10</f>
        <v>149000</v>
      </c>
      <c r="C10" s="36" t="n">
        <f aca="false">Юнит_экономика!G13</f>
        <v>-620</v>
      </c>
      <c r="D10" s="37" t="n">
        <f aca="false">Юнит_экономика!G14</f>
        <v>-8000</v>
      </c>
      <c r="E10" s="39" t="n">
        <f aca="false">B10+C10+D10</f>
        <v>140380</v>
      </c>
      <c r="F10" s="52" t="n">
        <f aca="false">IF(E10&lt;=0,"никогда",ROUNDUP(Допущения!$B$22/E10,0))</f>
        <v>1</v>
      </c>
      <c r="G10" s="41" t="n">
        <f aca="false">B10+C10</f>
        <v>148380</v>
      </c>
      <c r="H10" s="51" t="n">
        <f aca="false">IF(G10&lt;=0,"никогда",ROUNDUP(Допущения!$B$22/G10,0))</f>
        <v>1</v>
      </c>
      <c r="I10" s="41" t="n">
        <f aca="false">B10+D10</f>
        <v>141000</v>
      </c>
      <c r="J10" s="51" t="n">
        <f aca="false">IF(I10&lt;=0,"никогда",ROUNDUP(Допущения!$B$20/I10,0))</f>
        <v>1</v>
      </c>
    </row>
    <row r="12" customFormat="false" ht="16.15" hidden="false" customHeight="false" outlineLevel="0" collapsed="false">
      <c r="A12" s="1" t="s">
        <v>217</v>
      </c>
    </row>
    <row r="13" customFormat="false" ht="31.5" hidden="false" customHeight="true" outlineLevel="0" collapsed="false">
      <c r="A13" s="50" t="s">
        <v>218</v>
      </c>
      <c r="B13" s="9" t="s">
        <v>219</v>
      </c>
      <c r="C13" s="9" t="s">
        <v>207</v>
      </c>
      <c r="D13" s="9" t="s">
        <v>209</v>
      </c>
      <c r="E13" s="9" t="s">
        <v>211</v>
      </c>
      <c r="F13" s="9" t="s">
        <v>213</v>
      </c>
      <c r="G13" s="9" t="s">
        <v>215</v>
      </c>
      <c r="H13" s="9" t="s">
        <v>216</v>
      </c>
    </row>
    <row r="14" customFormat="false" ht="15" hidden="false" customHeight="false" outlineLevel="0" collapsed="false">
      <c r="A14" s="10" t="s">
        <v>220</v>
      </c>
      <c r="B14" s="30" t="n">
        <v>2</v>
      </c>
      <c r="C14" s="45" t="str">
        <f aca="false">IF(ISNUMBER($F$5),IF($B14&gt;=$F$5,"ДА","НЕТ"),"НЕТ")</f>
        <v>ДА</v>
      </c>
      <c r="D14" s="45" t="str">
        <f aca="false">IF(ISNUMBER($F$6),IF($B14&gt;=$F$6,"ДА","НЕТ"),"НЕТ")</f>
        <v>ДА</v>
      </c>
      <c r="E14" s="45" t="str">
        <f aca="false">IF(ISNUMBER($F$7),IF($B14&gt;=$F$7,"ДА","НЕТ"),"НЕТ")</f>
        <v>ДА</v>
      </c>
      <c r="F14" s="45" t="str">
        <f aca="false">IF(ISNUMBER($F$8),IF($B14&gt;=$F$8,"ДА","НЕТ"),"НЕТ")</f>
        <v>ДА</v>
      </c>
      <c r="G14" s="45" t="str">
        <f aca="false">IF(ISNUMBER($F$9),IF($B14&gt;=$F$9,"ДА","НЕТ"),"НЕТ")</f>
        <v>ДА</v>
      </c>
      <c r="H14" s="45" t="str">
        <f aca="false">IF(ISNUMBER($F$10),IF($B14&gt;=$F$10,"ДА","НЕТ"),"НЕТ")</f>
        <v>ДА</v>
      </c>
      <c r="L14" s="2" t="s">
        <v>221</v>
      </c>
    </row>
    <row r="15" customFormat="false" ht="15" hidden="false" customHeight="false" outlineLevel="0" collapsed="false">
      <c r="A15" s="10" t="s">
        <v>222</v>
      </c>
      <c r="B15" s="30" t="n">
        <v>4</v>
      </c>
      <c r="C15" s="45" t="str">
        <f aca="false">IF(ISNUMBER($F$5),IF($B15&gt;=$F$5,"ДА","НЕТ"),"НЕТ")</f>
        <v>ДА</v>
      </c>
      <c r="D15" s="45" t="str">
        <f aca="false">IF(ISNUMBER($F$6),IF($B15&gt;=$F$6,"ДА","НЕТ"),"НЕТ")</f>
        <v>ДА</v>
      </c>
      <c r="E15" s="45" t="str">
        <f aca="false">IF(ISNUMBER($F$7),IF($B15&gt;=$F$7,"ДА","НЕТ"),"НЕТ")</f>
        <v>ДА</v>
      </c>
      <c r="F15" s="45" t="str">
        <f aca="false">IF(ISNUMBER($F$8),IF($B15&gt;=$F$8,"ДА","НЕТ"),"НЕТ")</f>
        <v>ДА</v>
      </c>
      <c r="G15" s="45" t="str">
        <f aca="false">IF(ISNUMBER($F$9),IF($B15&gt;=$F$9,"ДА","НЕТ"),"НЕТ")</f>
        <v>ДА</v>
      </c>
      <c r="H15" s="45" t="str">
        <f aca="false">IF(ISNUMBER($F$10),IF($B15&gt;=$F$10,"ДА","НЕТ"),"НЕТ")</f>
        <v>ДА</v>
      </c>
    </row>
    <row r="16" customFormat="false" ht="15" hidden="false" customHeight="false" outlineLevel="0" collapsed="false">
      <c r="A16" s="10" t="s">
        <v>223</v>
      </c>
      <c r="B16" s="30" t="n">
        <v>10</v>
      </c>
      <c r="C16" s="45" t="str">
        <f aca="false">IF(ISNUMBER($F$5),IF($B16&gt;=$F$5,"ДА","НЕТ"),"НЕТ")</f>
        <v>ДА</v>
      </c>
      <c r="D16" s="45" t="str">
        <f aca="false">IF(ISNUMBER($F$6),IF($B16&gt;=$F$6,"ДА","НЕТ"),"НЕТ")</f>
        <v>ДА</v>
      </c>
      <c r="E16" s="45" t="str">
        <f aca="false">IF(ISNUMBER($F$7),IF($B16&gt;=$F$7,"ДА","НЕТ"),"НЕТ")</f>
        <v>ДА</v>
      </c>
      <c r="F16" s="45" t="str">
        <f aca="false">IF(ISNUMBER($F$8),IF($B16&gt;=$F$8,"ДА","НЕТ"),"НЕТ")</f>
        <v>ДА</v>
      </c>
      <c r="G16" s="45" t="str">
        <f aca="false">IF(ISNUMBER($F$9),IF($B16&gt;=$F$9,"ДА","НЕТ"),"НЕТ")</f>
        <v>ДА</v>
      </c>
      <c r="H16" s="45" t="str">
        <f aca="false">IF(ISNUMBER($F$10),IF($B16&gt;=$F$10,"ДА","НЕТ"),"НЕТ")</f>
        <v>ДА</v>
      </c>
    </row>
    <row r="18" customFormat="false" ht="15" hidden="false" customHeight="false" outlineLevel="0" collapsed="false">
      <c r="A18" s="7" t="s">
        <v>224</v>
      </c>
    </row>
    <row r="19" customFormat="false" ht="15" hidden="false" customHeight="false" outlineLevel="0" collapsed="false">
      <c r="A19" s="10" t="s">
        <v>220</v>
      </c>
      <c r="B19" s="32" t="n">
        <f aca="false">B14</f>
        <v>2</v>
      </c>
      <c r="C19" s="45" t="str">
        <f aca="false">IF(ISNUMBER($J$5),IF($B19&gt;=$J$5,"ДА","НЕТ"),"НЕТ")</f>
        <v>НЕТ</v>
      </c>
      <c r="D19" s="45" t="str">
        <f aca="false">IF(ISNUMBER($J$6),IF($B19&gt;=$J$6,"ДА","НЕТ"),"НЕТ")</f>
        <v>НЕТ</v>
      </c>
      <c r="E19" s="45" t="str">
        <f aca="false">IF(ISNUMBER($J$7),IF($B19&gt;=$J$7,"ДА","НЕТ"),"НЕТ")</f>
        <v>НЕТ</v>
      </c>
      <c r="F19" s="45" t="str">
        <f aca="false">IF(ISNUMBER($J$8),IF($B19&gt;=$J$8,"ДА","НЕТ"),"НЕТ")</f>
        <v>НЕТ</v>
      </c>
      <c r="G19" s="45" t="str">
        <f aca="false">IF(ISNUMBER($J$9),IF($B19&gt;=$J$9,"ДА","НЕТ"),"НЕТ")</f>
        <v>ДА</v>
      </c>
      <c r="H19" s="45" t="str">
        <f aca="false">IF(ISNUMBER($J$10),IF($B19&gt;=$J$10,"ДА","НЕТ"),"НЕТ")</f>
        <v>ДА</v>
      </c>
    </row>
    <row r="20" customFormat="false" ht="15" hidden="false" customHeight="false" outlineLevel="0" collapsed="false">
      <c r="A20" s="10" t="s">
        <v>222</v>
      </c>
      <c r="B20" s="32" t="n">
        <f aca="false">B15</f>
        <v>4</v>
      </c>
      <c r="C20" s="45" t="str">
        <f aca="false">IF(ISNUMBER($J$5),IF($B20&gt;=$J$5,"ДА","НЕТ"),"НЕТ")</f>
        <v>ДА</v>
      </c>
      <c r="D20" s="45" t="str">
        <f aca="false">IF(ISNUMBER($J$6),IF($B20&gt;=$J$6,"ДА","НЕТ"),"НЕТ")</f>
        <v>ДА</v>
      </c>
      <c r="E20" s="45" t="str">
        <f aca="false">IF(ISNUMBER($J$7),IF($B20&gt;=$J$7,"ДА","НЕТ"),"НЕТ")</f>
        <v>НЕТ</v>
      </c>
      <c r="F20" s="45" t="str">
        <f aca="false">IF(ISNUMBER($J$8),IF($B20&gt;=$J$8,"ДА","НЕТ"),"НЕТ")</f>
        <v>НЕТ</v>
      </c>
      <c r="G20" s="45" t="str">
        <f aca="false">IF(ISNUMBER($J$9),IF($B20&gt;=$J$9,"ДА","НЕТ"),"НЕТ")</f>
        <v>ДА</v>
      </c>
      <c r="H20" s="45" t="str">
        <f aca="false">IF(ISNUMBER($J$10),IF($B20&gt;=$J$10,"ДА","НЕТ"),"НЕТ")</f>
        <v>ДА</v>
      </c>
    </row>
    <row r="21" customFormat="false" ht="15" hidden="false" customHeight="false" outlineLevel="0" collapsed="false">
      <c r="A21" s="10" t="s">
        <v>223</v>
      </c>
      <c r="B21" s="32" t="n">
        <f aca="false">B16</f>
        <v>10</v>
      </c>
      <c r="C21" s="45" t="str">
        <f aca="false">IF(ISNUMBER($J$5),IF($B21&gt;=$J$5,"ДА","НЕТ"),"НЕТ")</f>
        <v>ДА</v>
      </c>
      <c r="D21" s="45" t="str">
        <f aca="false">IF(ISNUMBER($J$6),IF($B21&gt;=$J$6,"ДА","НЕТ"),"НЕТ")</f>
        <v>ДА</v>
      </c>
      <c r="E21" s="45" t="str">
        <f aca="false">IF(ISNUMBER($J$7),IF($B21&gt;=$J$7,"ДА","НЕТ"),"НЕТ")</f>
        <v>ДА</v>
      </c>
      <c r="F21" s="45" t="str">
        <f aca="false">IF(ISNUMBER($J$8),IF($B21&gt;=$J$8,"ДА","НЕТ"),"НЕТ")</f>
        <v>ДА</v>
      </c>
      <c r="G21" s="45" t="str">
        <f aca="false">IF(ISNUMBER($J$9),IF($B21&gt;=$J$9,"ДА","НЕТ"),"НЕТ")</f>
        <v>ДА</v>
      </c>
      <c r="H21" s="45" t="str">
        <f aca="false">IF(ISNUMBER($J$10),IF($B21&gt;=$J$10,"ДА","НЕТ"),"НЕТ")</f>
        <v>ДА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7"/>
    <col collapsed="false" customWidth="true" hidden="false" outlineLevel="0" max="8" min="8" style="0" width="58"/>
  </cols>
  <sheetData>
    <row r="1" customFormat="false" ht="16.15" hidden="false" customHeight="false" outlineLevel="0" collapsed="false">
      <c r="A1" s="1" t="s">
        <v>225</v>
      </c>
    </row>
    <row r="3" customFormat="false" ht="15" hidden="false" customHeight="false" outlineLevel="0" collapsed="false">
      <c r="A3" s="3" t="s">
        <v>226</v>
      </c>
      <c r="B3" s="3"/>
      <c r="C3" s="3"/>
      <c r="D3" s="3"/>
      <c r="E3" s="3"/>
      <c r="F3" s="3"/>
      <c r="G3" s="3"/>
      <c r="H3" s="3"/>
    </row>
    <row r="4" customFormat="false" ht="55.5" hidden="false" customHeight="true" outlineLevel="0" collapsed="false">
      <c r="A4" s="9" t="s">
        <v>81</v>
      </c>
      <c r="B4" s="9" t="s">
        <v>82</v>
      </c>
      <c r="C4" s="9" t="s">
        <v>83</v>
      </c>
      <c r="D4" s="9" t="s">
        <v>84</v>
      </c>
      <c r="E4" s="9" t="s">
        <v>85</v>
      </c>
      <c r="F4" s="9" t="s">
        <v>86</v>
      </c>
      <c r="G4" s="9" t="s">
        <v>87</v>
      </c>
      <c r="H4" s="9" t="s">
        <v>88</v>
      </c>
    </row>
    <row r="5" customFormat="false" ht="15" hidden="false" customHeight="false" outlineLevel="0" collapsed="false">
      <c r="A5" s="10" t="s">
        <v>227</v>
      </c>
      <c r="B5" s="30" t="n">
        <v>10</v>
      </c>
      <c r="C5" s="30" t="n">
        <f aca="false">$B$5</f>
        <v>10</v>
      </c>
      <c r="D5" s="30" t="n">
        <f aca="false">$B$5</f>
        <v>10</v>
      </c>
      <c r="E5" s="30" t="n">
        <f aca="false">$B$5</f>
        <v>10</v>
      </c>
      <c r="F5" s="30" t="n">
        <f aca="false">$B$5</f>
        <v>10</v>
      </c>
      <c r="G5" s="30" t="n">
        <f aca="false">$B$5</f>
        <v>10</v>
      </c>
    </row>
    <row r="6" customFormat="false" ht="15" hidden="false" customHeight="false" outlineLevel="0" collapsed="false">
      <c r="A6" s="10" t="s">
        <v>228</v>
      </c>
      <c r="B6" s="53" t="n">
        <f aca="false">Юнит_экономика!B9*B5</f>
        <v>5000</v>
      </c>
      <c r="C6" s="53" t="n">
        <f aca="false">Юнит_экономика!C9*C5</f>
        <v>15000</v>
      </c>
      <c r="D6" s="53" t="n">
        <f aca="false">Юнит_экономика!D9*D5</f>
        <v>7500</v>
      </c>
      <c r="E6" s="53" t="n">
        <f aca="false">Юнит_экономика!E9*E5</f>
        <v>8250</v>
      </c>
      <c r="F6" s="53" t="n">
        <f aca="false">Юнит_экономика!F9*F5</f>
        <v>30000</v>
      </c>
      <c r="G6" s="53" t="n">
        <f aca="false">Юнит_экономика!G9*G5</f>
        <v>200000</v>
      </c>
    </row>
    <row r="7" customFormat="false" ht="15" hidden="false" customHeight="false" outlineLevel="0" collapsed="false">
      <c r="A7" s="33" t="s">
        <v>229</v>
      </c>
      <c r="B7" s="34" t="n">
        <f aca="false">MAX(Юнит_экономика!B7,Юнит_экономика!B4+MAX(0,B6-Юнит_экономика!B5)*Юнит_экономика!B6)</f>
        <v>55900</v>
      </c>
      <c r="C7" s="34" t="n">
        <f aca="false">MAX(Юнит_экономика!C7,Юнит_экономика!C4+MAX(0,C6-Юнит_экономика!C5)*Юнит_экономика!C6)</f>
        <v>127900</v>
      </c>
      <c r="D7" s="34" t="n">
        <f aca="false">MAX(Юнит_экономика!D7,Юнит_экономика!D4+MAX(0,D6-Юнит_экономика!D5)*Юнит_экономика!D6)</f>
        <v>70650</v>
      </c>
      <c r="E7" s="34" t="n">
        <f aca="false">MAX(Юнит_экономика!E7,Юнит_экономика!E4+MAX(0,E6-Юнит_экономика!E5)*Юнит_экономика!E6)</f>
        <v>99000</v>
      </c>
      <c r="F7" s="34" t="n">
        <f aca="false">MAX(Юнит_экономика!F7,Юнит_экономика!F4+MAX(0,F6-Юнит_экономика!F5)*Юнит_экономика!F6)</f>
        <v>184000</v>
      </c>
      <c r="G7" s="34" t="n">
        <f aca="false">MAX(Юнит_экономика!G7,Юнит_экономика!G4+MAX(0,G6-Юнит_экономика!G5)*Юнит_экономика!G6)</f>
        <v>689000</v>
      </c>
    </row>
    <row r="8" customFormat="false" ht="15" hidden="false" customHeight="false" outlineLevel="0" collapsed="false">
      <c r="A8" s="10" t="s">
        <v>230</v>
      </c>
      <c r="B8" s="36" t="n">
        <f aca="false">-B6*Допущения!$B$23</f>
        <v>-155</v>
      </c>
      <c r="C8" s="36" t="n">
        <f aca="false">-C6*Допущения!$B$23</f>
        <v>-465</v>
      </c>
      <c r="D8" s="36" t="n">
        <f aca="false">-D6*Допущения!$B$23</f>
        <v>-232.5</v>
      </c>
      <c r="E8" s="36" t="n">
        <f aca="false">-E6*Допущения!$B$23</f>
        <v>-255.75</v>
      </c>
      <c r="F8" s="36" t="n">
        <f aca="false">-F6*Допущения!$B$23</f>
        <v>-930</v>
      </c>
      <c r="G8" s="36" t="n">
        <f aca="false">-G6*Допущения!$B$23</f>
        <v>-6200</v>
      </c>
    </row>
    <row r="9" customFormat="false" ht="15" hidden="false" customHeight="false" outlineLevel="0" collapsed="false">
      <c r="A9" s="10" t="s">
        <v>231</v>
      </c>
      <c r="B9" s="37" t="n">
        <f aca="false">Юнит_экономика!B14</f>
        <v>-6000</v>
      </c>
      <c r="C9" s="37" t="n">
        <f aca="false">Юнит_экономика!C14</f>
        <v>-6000</v>
      </c>
      <c r="D9" s="37" t="n">
        <f aca="false">Юнит_экономика!D14</f>
        <v>-2000</v>
      </c>
      <c r="E9" s="37" t="n">
        <f aca="false">Юнит_экономика!E14</f>
        <v>-2000</v>
      </c>
      <c r="F9" s="37" t="n">
        <f aca="false">Юнит_экономика!F14</f>
        <v>-6000</v>
      </c>
      <c r="G9" s="37" t="n">
        <f aca="false">Юнит_экономика!G14</f>
        <v>-8000</v>
      </c>
      <c r="H9" s="2" t="s">
        <v>232</v>
      </c>
    </row>
    <row r="10" customFormat="false" ht="15" hidden="false" customHeight="false" outlineLevel="0" collapsed="false">
      <c r="A10" s="38" t="s">
        <v>233</v>
      </c>
      <c r="B10" s="39" t="n">
        <f aca="false">B7+B8+B9</f>
        <v>49745</v>
      </c>
      <c r="C10" s="39" t="n">
        <f aca="false">C7+C8+C9</f>
        <v>121435</v>
      </c>
      <c r="D10" s="39" t="n">
        <f aca="false">D7+D8+D9</f>
        <v>68417.5</v>
      </c>
      <c r="E10" s="39" t="n">
        <f aca="false">E7+E8+E9</f>
        <v>96744.25</v>
      </c>
      <c r="F10" s="39" t="n">
        <f aca="false">F7+F8+F9</f>
        <v>177070</v>
      </c>
      <c r="G10" s="39" t="n">
        <f aca="false">G7+G8+G9</f>
        <v>674800</v>
      </c>
    </row>
    <row r="11" customFormat="false" ht="15" hidden="false" customHeight="false" outlineLevel="0" collapsed="false">
      <c r="A11" s="33" t="s">
        <v>234</v>
      </c>
      <c r="B11" s="40" t="n">
        <f aca="false">IFERROR(B10/B7,0)</f>
        <v>0.889892665474061</v>
      </c>
      <c r="C11" s="40" t="n">
        <f aca="false">IFERROR(C10/C7,0)</f>
        <v>0.949452697419859</v>
      </c>
      <c r="D11" s="40" t="n">
        <f aca="false">IFERROR(D10/D7,0)</f>
        <v>0.968400566171267</v>
      </c>
      <c r="E11" s="40" t="n">
        <f aca="false">IFERROR(E10/E7,0)</f>
        <v>0.977214646464647</v>
      </c>
      <c r="F11" s="40" t="n">
        <f aca="false">IFERROR(F10/F7,0)</f>
        <v>0.962336956521739</v>
      </c>
      <c r="G11" s="40" t="n">
        <f aca="false">IFERROR(G10/G7,0)</f>
        <v>0.979390420899855</v>
      </c>
    </row>
    <row r="12" customFormat="false" ht="15" hidden="false" customHeight="false" outlineLevel="0" collapsed="false">
      <c r="A12" s="10" t="s">
        <v>102</v>
      </c>
      <c r="B12" s="35" t="n">
        <f aca="false">IFERROR(B7/B6,0)</f>
        <v>11.18</v>
      </c>
      <c r="C12" s="35" t="n">
        <f aca="false">IFERROR(C7/C6,0)</f>
        <v>8.52666666666667</v>
      </c>
      <c r="D12" s="35" t="n">
        <f aca="false">IFERROR(D7/D6,0)</f>
        <v>9.42</v>
      </c>
      <c r="E12" s="35" t="n">
        <f aca="false">IFERROR(E7/E6,0)</f>
        <v>12</v>
      </c>
      <c r="F12" s="35" t="n">
        <f aca="false">IFERROR(F7/F6,0)</f>
        <v>6.13333333333333</v>
      </c>
      <c r="G12" s="35" t="n">
        <f aca="false">IFERROR(G7/G6,0)</f>
        <v>3.445</v>
      </c>
    </row>
    <row r="13" customFormat="false" ht="15" hidden="false" customHeight="false" outlineLevel="0" collapsed="false">
      <c r="A13" s="10" t="s">
        <v>235</v>
      </c>
      <c r="B13" s="37" t="n">
        <f aca="false">B6*Допущения!$B$39</f>
        <v>200000</v>
      </c>
      <c r="C13" s="37" t="n">
        <f aca="false">C6*Допущения!$B$39</f>
        <v>600000</v>
      </c>
      <c r="D13" s="37" t="n">
        <f aca="false">D6*Допущения!$B$39</f>
        <v>300000</v>
      </c>
      <c r="E13" s="37" t="n">
        <f aca="false">E6*Допущения!$B$39</f>
        <v>330000</v>
      </c>
      <c r="F13" s="37" t="n">
        <f aca="false">F6*Допущения!$B$39</f>
        <v>1200000</v>
      </c>
      <c r="G13" s="37" t="n">
        <f aca="false">G6*Допущения!$B$39</f>
        <v>8000000</v>
      </c>
    </row>
    <row r="14" customFormat="false" ht="15" hidden="false" customHeight="false" outlineLevel="0" collapsed="false">
      <c r="A14" s="38" t="s">
        <v>123</v>
      </c>
      <c r="B14" s="54" t="n">
        <f aca="false">IFERROR(B13/B7,0)</f>
        <v>3.5778175313059</v>
      </c>
      <c r="C14" s="54" t="n">
        <f aca="false">IFERROR(C13/C7,0)</f>
        <v>4.69116497263487</v>
      </c>
      <c r="D14" s="54" t="n">
        <f aca="false">IFERROR(D13/D7,0)</f>
        <v>4.24628450106157</v>
      </c>
      <c r="E14" s="54" t="n">
        <f aca="false">IFERROR(E13/E7,0)</f>
        <v>3.33333333333333</v>
      </c>
      <c r="F14" s="54" t="n">
        <f aca="false">IFERROR(F13/F7,0)</f>
        <v>6.52173913043478</v>
      </c>
      <c r="G14" s="54" t="n">
        <f aca="false">IFERROR(G13/G7,0)</f>
        <v>11.611030478955</v>
      </c>
    </row>
    <row r="15" customFormat="false" ht="15" hidden="false" customHeight="false" outlineLevel="0" collapsed="false">
      <c r="A15" s="10" t="s">
        <v>236</v>
      </c>
      <c r="B15" s="42" t="n">
        <f aca="false">B6/Допущения!$B$55</f>
        <v>0.00696301247771836</v>
      </c>
      <c r="C15" s="42" t="n">
        <f aca="false">C6/Допущения!$B$55</f>
        <v>0.0208890374331551</v>
      </c>
      <c r="D15" s="42" t="n">
        <f aca="false">D6/Допущения!$B$55</f>
        <v>0.0104445187165775</v>
      </c>
      <c r="E15" s="42" t="n">
        <f aca="false">E6/Допущения!$B$55</f>
        <v>0.0114889705882353</v>
      </c>
      <c r="F15" s="42" t="n">
        <f aca="false">F6/Допущения!$B$55</f>
        <v>0.0417780748663102</v>
      </c>
      <c r="G15" s="42" t="n">
        <f aca="false">G6/Допущения!$B$55</f>
        <v>0.278520499108734</v>
      </c>
    </row>
    <row r="17" customFormat="false" ht="48" hidden="false" customHeight="true" outlineLevel="0" collapsed="false">
      <c r="A17" s="46" t="s">
        <v>237</v>
      </c>
      <c r="B17" s="46"/>
      <c r="C17" s="46"/>
      <c r="D17" s="46"/>
      <c r="E17" s="46"/>
      <c r="F17" s="46"/>
      <c r="G17" s="46"/>
      <c r="H17" s="46"/>
    </row>
    <row r="19" customFormat="false" ht="15" hidden="false" customHeight="false" outlineLevel="0" collapsed="false">
      <c r="A19" s="3" t="s">
        <v>238</v>
      </c>
      <c r="B19" s="3"/>
      <c r="C19" s="3"/>
      <c r="D19" s="3"/>
      <c r="E19" s="3"/>
      <c r="F19" s="3"/>
      <c r="G19" s="3"/>
      <c r="H19" s="3"/>
    </row>
    <row r="20" customFormat="false" ht="55.5" hidden="false" customHeight="true" outlineLevel="0" collapsed="false">
      <c r="A20" s="50" t="s">
        <v>81</v>
      </c>
      <c r="B20" s="9" t="s">
        <v>82</v>
      </c>
      <c r="C20" s="9" t="s">
        <v>83</v>
      </c>
      <c r="D20" s="9" t="s">
        <v>84</v>
      </c>
      <c r="E20" s="9" t="s">
        <v>85</v>
      </c>
      <c r="F20" s="9" t="s">
        <v>86</v>
      </c>
      <c r="G20" s="9" t="s">
        <v>87</v>
      </c>
      <c r="H20" s="9" t="s">
        <v>88</v>
      </c>
    </row>
    <row r="21" customFormat="false" ht="15" hidden="false" customHeight="false" outlineLevel="0" collapsed="false">
      <c r="A21" s="10" t="s">
        <v>239</v>
      </c>
      <c r="B21" s="32" t="n">
        <f aca="false">IFERROR(Юнит_экономика!B10/Допущения!$B$23,0)</f>
        <v>641935.483870968</v>
      </c>
      <c r="C21" s="32" t="n">
        <f aca="false">IFERROR(Юнит_экономика!C10/Допущения!$B$23,0)</f>
        <v>641935.483870968</v>
      </c>
      <c r="D21" s="32" t="n">
        <f aca="false">IFERROR(Юнит_экономика!D10/Допущения!$B$23,0)</f>
        <v>319354.838709677</v>
      </c>
      <c r="E21" s="32" t="n">
        <f aca="false">IFERROR(Юнит_экономика!E10/Допущения!$B$23,0)</f>
        <v>319354.838709677</v>
      </c>
      <c r="F21" s="32" t="n">
        <f aca="false">IFERROR(Юнит_экономика!F10/Допущения!$B$23,0)</f>
        <v>1580645.16129032</v>
      </c>
      <c r="G21" s="32" t="n">
        <f aca="false">IFERROR(Юнит_экономика!G10/Допущения!$B$23,0)</f>
        <v>4806451.61290323</v>
      </c>
      <c r="H21" s="2" t="s">
        <v>240</v>
      </c>
    </row>
    <row r="22" customFormat="false" ht="15" hidden="false" customHeight="false" outlineLevel="0" collapsed="false">
      <c r="A22" s="10" t="s">
        <v>241</v>
      </c>
      <c r="B22" s="42" t="n">
        <f aca="false">B21/Допущения!$B$55</f>
        <v>0.893960956816744</v>
      </c>
      <c r="C22" s="42" t="n">
        <f aca="false">C21/Допущения!$B$55</f>
        <v>0.893960956816744</v>
      </c>
      <c r="D22" s="42" t="n">
        <f aca="false">D21/Допущения!$B$55</f>
        <v>0.444734345351044</v>
      </c>
      <c r="E22" s="42" t="n">
        <f aca="false">E21/Допущения!$B$55</f>
        <v>0.444734345351044</v>
      </c>
      <c r="F22" s="42" t="n">
        <f aca="false">F21/Допущения!$B$55</f>
        <v>2.20121039618193</v>
      </c>
      <c r="G22" s="42" t="n">
        <f aca="false">G21/Допущения!$B$55</f>
        <v>6.69347651083894</v>
      </c>
      <c r="H22" s="2" t="s">
        <v>242</v>
      </c>
    </row>
    <row r="23" customFormat="false" ht="15" hidden="false" customHeight="false" outlineLevel="0" collapsed="false">
      <c r="A23" s="10" t="s">
        <v>243</v>
      </c>
      <c r="B23" s="32" t="n">
        <f aca="false">IFERROR(Юнит_экономика!B10/1,0)</f>
        <v>19900</v>
      </c>
      <c r="C23" s="32" t="n">
        <f aca="false">IFERROR(Юнит_экономика!C10/1,0)</f>
        <v>19900</v>
      </c>
      <c r="D23" s="32" t="n">
        <f aca="false">IFERROR(Юнит_экономика!D10/1,0)</f>
        <v>9900</v>
      </c>
      <c r="E23" s="32" t="n">
        <f aca="false">IFERROR(Юнит_экономика!E10/1,0)</f>
        <v>9900</v>
      </c>
      <c r="F23" s="32" t="n">
        <f aca="false">IFERROR(Юнит_экономика!F10/1,0)</f>
        <v>49000</v>
      </c>
      <c r="G23" s="32" t="n">
        <f aca="false">IFERROR(Юнит_экономика!G10/1,0)</f>
        <v>149000</v>
      </c>
      <c r="H23" s="2" t="s">
        <v>244</v>
      </c>
    </row>
    <row r="24" customFormat="false" ht="15" hidden="false" customHeight="false" outlineLevel="0" collapsed="false">
      <c r="A24" s="10" t="s">
        <v>245</v>
      </c>
      <c r="B24" s="32" t="n">
        <f aca="false">IFERROR((Юнит_экономика!B10+Юнит_экономика!B14)/Допущения!$B$23,0)</f>
        <v>448387.096774194</v>
      </c>
      <c r="C24" s="32" t="n">
        <f aca="false">IFERROR((Юнит_экономика!C10+Юнит_экономика!C14)/Допущения!$B$23,0)</f>
        <v>448387.096774194</v>
      </c>
      <c r="D24" s="32" t="n">
        <f aca="false">IFERROR((Юнит_экономика!D10+Юнит_экономика!D14)/Допущения!$B$23,0)</f>
        <v>254838.709677419</v>
      </c>
      <c r="E24" s="32" t="n">
        <f aca="false">IFERROR((Юнит_экономика!E10+Юнит_экономика!E14)/Допущения!$B$23,0)</f>
        <v>254838.709677419</v>
      </c>
      <c r="F24" s="32" t="n">
        <f aca="false">IFERROR((Юнит_экономика!F10+Юнит_экономика!F14)/Допущения!$B$23,0)</f>
        <v>1387096.77419355</v>
      </c>
      <c r="G24" s="32" t="n">
        <f aca="false">IFERROR((Юнит_экономика!G10+Юнит_экономика!G14)/Допущения!$B$23,0)</f>
        <v>4548387.09677419</v>
      </c>
      <c r="H24" s="2" t="s">
        <v>246</v>
      </c>
    </row>
    <row r="25" customFormat="false" ht="23.85" hidden="false" customHeight="false" outlineLevel="0" collapsed="false">
      <c r="A25" s="38" t="s">
        <v>247</v>
      </c>
      <c r="B25" s="45" t="str">
        <f aca="false">IF(B22&gt;1,"Недостижимо в пределах ёмкости","Достижимо — риск реален")</f>
        <v>Достижимо — риск реален</v>
      </c>
      <c r="C25" s="45" t="str">
        <f aca="false">IF(C22&gt;1,"Недостижимо в пределах ёмкости","Достижимо — риск реален")</f>
        <v>Достижимо — риск реален</v>
      </c>
      <c r="D25" s="45" t="str">
        <f aca="false">IF(D22&gt;1,"Недостижимо в пределах ёмкости","Достижимо — риск реален")</f>
        <v>Достижимо — риск реален</v>
      </c>
      <c r="E25" s="45" t="str">
        <f aca="false">IF(E22&gt;1,"Недостижимо в пределах ёмкости","Достижимо — риск реален")</f>
        <v>Достижимо — риск реален</v>
      </c>
      <c r="F25" s="45" t="str">
        <f aca="false">IF(F22&gt;1,"Недостижимо в пределах ёмкости","Достижимо — риск реален")</f>
        <v>Недостижимо в пределах ёмкости</v>
      </c>
      <c r="G25" s="45" t="str">
        <f aca="false">IF(G22&gt;1,"Недостижимо в пределах ёмкости","Достижимо — риск реален")</f>
        <v>Недостижимо в пределах ёмкости</v>
      </c>
    </row>
    <row r="27" customFormat="false" ht="48" hidden="false" customHeight="true" outlineLevel="0" collapsed="false">
      <c r="A27" s="46" t="s">
        <v>248</v>
      </c>
      <c r="B27" s="46"/>
      <c r="C27" s="46"/>
      <c r="D27" s="46"/>
      <c r="E27" s="46"/>
      <c r="F27" s="46"/>
      <c r="G27" s="46"/>
      <c r="H27" s="46"/>
    </row>
    <row r="29" customFormat="false" ht="15" hidden="false" customHeight="false" outlineLevel="0" collapsed="false">
      <c r="A29" s="3" t="s">
        <v>249</v>
      </c>
      <c r="B29" s="3"/>
      <c r="C29" s="3"/>
      <c r="D29" s="3"/>
      <c r="E29" s="3"/>
      <c r="F29" s="3"/>
      <c r="G29" s="3"/>
      <c r="H29" s="3"/>
    </row>
    <row r="30" customFormat="false" ht="33.75" hidden="false" customHeight="true" outlineLevel="0" collapsed="false">
      <c r="A30" s="50" t="s">
        <v>250</v>
      </c>
      <c r="B30" s="9" t="s">
        <v>251</v>
      </c>
      <c r="C30" s="9" t="s">
        <v>252</v>
      </c>
      <c r="D30" s="9" t="s">
        <v>253</v>
      </c>
    </row>
    <row r="31" customFormat="false" ht="15" hidden="false" customHeight="false" outlineLevel="0" collapsed="false">
      <c r="A31" s="10" t="s">
        <v>254</v>
      </c>
      <c r="B31" s="32" t="n">
        <f aca="false">Юнит_экономика!B5+(Юнит_экономика!F4-Юнит_экономика!B4)/Юнит_экономика!B6</f>
        <v>4137.5</v>
      </c>
      <c r="C31" s="53" t="n">
        <f aca="false">Юнит_экономика!F5</f>
        <v>3000</v>
      </c>
      <c r="D31" s="38" t="str">
        <f aca="false">IF(B31&gt;C31,"РАЗРЫВ: до квоты верхнего тарифа переходить невыгодно","Лестница корректна")</f>
        <v>РАЗРЫВ: до квоты верхнего тарифа переходить невыгодно</v>
      </c>
    </row>
    <row r="32" customFormat="false" ht="15" hidden="false" customHeight="false" outlineLevel="0" collapsed="false">
      <c r="A32" s="10" t="s">
        <v>255</v>
      </c>
      <c r="B32" s="32" t="n">
        <f aca="false">Юнит_экономика!F5+(Юнит_экономика!G4-Юнит_экономика!F4)/Юнит_экономика!F6</f>
        <v>23000</v>
      </c>
      <c r="C32" s="53" t="n">
        <f aca="false">Юнит_экономика!G5</f>
        <v>20000</v>
      </c>
      <c r="D32" s="38" t="str">
        <f aca="false">IF(B32&gt;C32,"РАЗРЫВ: до квоты верхнего тарифа переходить невыгодно","Лестница корректна")</f>
        <v>РАЗРЫВ: до квоты верхнего тарифа переходить невыгодно</v>
      </c>
    </row>
    <row r="34" customFormat="false" ht="61.5" hidden="false" customHeight="true" outlineLevel="0" collapsed="false">
      <c r="A34" s="46" t="s">
        <v>256</v>
      </c>
      <c r="B34" s="46"/>
      <c r="C34" s="46"/>
      <c r="D34" s="46"/>
      <c r="E34" s="46"/>
      <c r="F34" s="46"/>
      <c r="G34" s="46"/>
      <c r="H34" s="46"/>
    </row>
    <row r="36" customFormat="false" ht="15" hidden="false" customHeight="false" outlineLevel="0" collapsed="false">
      <c r="A36" s="3" t="s">
        <v>257</v>
      </c>
      <c r="B36" s="3"/>
      <c r="C36" s="3"/>
      <c r="D36" s="3"/>
      <c r="E36" s="3"/>
      <c r="F36" s="3"/>
      <c r="G36" s="3"/>
      <c r="H36" s="3"/>
    </row>
    <row r="37" customFormat="false" ht="15" hidden="false" customHeight="false" outlineLevel="0" collapsed="false">
      <c r="A37" s="50" t="s">
        <v>258</v>
      </c>
      <c r="B37" s="9" t="s">
        <v>259</v>
      </c>
      <c r="C37" s="9" t="s">
        <v>260</v>
      </c>
      <c r="D37" s="9" t="s">
        <v>261</v>
      </c>
      <c r="E37" s="9" t="s">
        <v>262</v>
      </c>
      <c r="F37" s="50" t="s">
        <v>88</v>
      </c>
    </row>
    <row r="38" customFormat="false" ht="15" hidden="false" customHeight="false" outlineLevel="0" collapsed="false">
      <c r="A38" s="29" t="n">
        <v>1000</v>
      </c>
      <c r="B38" s="41" t="n">
        <f aca="false">Допущения!$B$22+1*$A38+500*Допущения!$B$23</f>
        <v>9015.5</v>
      </c>
      <c r="C38" s="41" t="n">
        <f aca="false">Допущения!$B$22+2*$A38+500*Допущения!$B$23</f>
        <v>10015.5</v>
      </c>
      <c r="D38" s="41" t="n">
        <f aca="false">Допущения!$B$22+3*$A38+500*Допущения!$B$23</f>
        <v>11015.5</v>
      </c>
      <c r="E38" s="41" t="n">
        <f aca="false">Допущения!$B$22+4*$A38+500*Допущения!$B$23</f>
        <v>12015.5</v>
      </c>
    </row>
    <row r="39" customFormat="false" ht="15" hidden="false" customHeight="false" outlineLevel="0" collapsed="false">
      <c r="A39" s="29" t="n">
        <v>1500</v>
      </c>
      <c r="B39" s="41" t="n">
        <f aca="false">Допущения!$B$22+1*$A39+500*Допущения!$B$23</f>
        <v>9515.5</v>
      </c>
      <c r="C39" s="41" t="n">
        <f aca="false">Допущения!$B$22+2*$A39+500*Допущения!$B$23</f>
        <v>11015.5</v>
      </c>
      <c r="D39" s="41" t="n">
        <f aca="false">Допущения!$B$22+3*$A39+500*Допущения!$B$23</f>
        <v>12515.5</v>
      </c>
      <c r="E39" s="41" t="n">
        <f aca="false">Допущения!$B$22+4*$A39+500*Допущения!$B$23</f>
        <v>14015.5</v>
      </c>
    </row>
    <row r="40" customFormat="false" ht="15" hidden="false" customHeight="false" outlineLevel="0" collapsed="false">
      <c r="A40" s="29" t="n">
        <v>2000</v>
      </c>
      <c r="B40" s="41" t="n">
        <f aca="false">Допущения!$B$22+1*$A40+500*Допущения!$B$23</f>
        <v>10015.5</v>
      </c>
      <c r="C40" s="41" t="n">
        <f aca="false">Допущения!$B$22+2*$A40+500*Допущения!$B$23</f>
        <v>12015.5</v>
      </c>
      <c r="D40" s="41" t="n">
        <f aca="false">Допущения!$B$22+3*$A40+500*Допущения!$B$23</f>
        <v>14015.5</v>
      </c>
      <c r="E40" s="41" t="n">
        <f aca="false">Допущения!$B$22+4*$A40+500*Допущения!$B$23</f>
        <v>16015.5</v>
      </c>
      <c r="F40" s="2" t="s">
        <v>263</v>
      </c>
    </row>
    <row r="41" customFormat="false" ht="15" hidden="false" customHeight="false" outlineLevel="0" collapsed="false">
      <c r="A41" s="29" t="n">
        <v>2500</v>
      </c>
      <c r="B41" s="41" t="n">
        <f aca="false">Допущения!$B$22+1*$A41+500*Допущения!$B$23</f>
        <v>10515.5</v>
      </c>
      <c r="C41" s="41" t="n">
        <f aca="false">Допущения!$B$22+2*$A41+500*Допущения!$B$23</f>
        <v>13015.5</v>
      </c>
      <c r="D41" s="41" t="n">
        <f aca="false">Допущения!$B$22+3*$A41+500*Допущения!$B$23</f>
        <v>15515.5</v>
      </c>
      <c r="E41" s="41" t="n">
        <f aca="false">Допущения!$B$22+4*$A41+500*Допущения!$B$23</f>
        <v>18015.5</v>
      </c>
    </row>
    <row r="42" customFormat="false" ht="15" hidden="false" customHeight="false" outlineLevel="0" collapsed="false">
      <c r="A42" s="29" t="n">
        <v>3000</v>
      </c>
      <c r="B42" s="41" t="n">
        <f aca="false">Допущения!$B$22+1*$A42+500*Допущения!$B$23</f>
        <v>11015.5</v>
      </c>
      <c r="C42" s="41" t="n">
        <f aca="false">Допущения!$B$22+2*$A42+500*Допущения!$B$23</f>
        <v>14015.5</v>
      </c>
      <c r="D42" s="41" t="n">
        <f aca="false">Допущения!$B$22+3*$A42+500*Допущения!$B$23</f>
        <v>17015.5</v>
      </c>
      <c r="E42" s="41" t="n">
        <f aca="false">Допущения!$B$22+4*$A42+500*Допущения!$B$23</f>
        <v>20015.5</v>
      </c>
    </row>
    <row r="44" customFormat="false" ht="33.75" hidden="false" customHeight="true" outlineLevel="0" collapsed="false">
      <c r="A44" s="46" t="s">
        <v>264</v>
      </c>
      <c r="B44" s="46"/>
      <c r="C44" s="46"/>
      <c r="D44" s="46"/>
      <c r="E44" s="46"/>
      <c r="F44" s="46"/>
      <c r="G44" s="46"/>
      <c r="H44" s="46"/>
    </row>
    <row r="46" customFormat="false" ht="15" hidden="false" customHeight="false" outlineLevel="0" collapsed="false">
      <c r="A46" s="3" t="s">
        <v>265</v>
      </c>
      <c r="B46" s="3"/>
      <c r="C46" s="3"/>
      <c r="D46" s="3"/>
      <c r="E46" s="3"/>
      <c r="F46" s="3"/>
      <c r="G46" s="3"/>
      <c r="H46" s="3"/>
    </row>
    <row r="47" customFormat="false" ht="15" hidden="false" customHeight="false" outlineLevel="0" collapsed="false">
      <c r="A47" s="50" t="s">
        <v>266</v>
      </c>
      <c r="B47" s="9" t="s">
        <v>267</v>
      </c>
      <c r="C47" s="9" t="s">
        <v>268</v>
      </c>
      <c r="D47" s="9" t="s">
        <v>269</v>
      </c>
      <c r="E47" s="9" t="s">
        <v>270</v>
      </c>
      <c r="F47" s="50" t="s">
        <v>88</v>
      </c>
    </row>
    <row r="48" customFormat="false" ht="15" hidden="false" customHeight="false" outlineLevel="0" collapsed="false">
      <c r="A48" s="55" t="n">
        <v>1</v>
      </c>
      <c r="B48" s="42" t="n">
        <f aca="false">(Юнит_экономика!B10+Юнит_экономика!B13-$A48*Допущения!$B$28)/Юнит_экономика!B10</f>
        <v>0.898718592964824</v>
      </c>
      <c r="C48" s="42" t="n">
        <f aca="false">(Юнит_экономика!C10+Юнит_экономика!C13-$A48*Допущения!$B$28)/Юнит_экономика!C10</f>
        <v>0.897160804020101</v>
      </c>
      <c r="D48" s="42" t="n">
        <f aca="false">(Юнит_экономика!D10+Юнит_экономика!D13-$A48*Допущения!$B$28)/Юнит_экономика!D10</f>
        <v>0.795631313131313</v>
      </c>
      <c r="E48" s="42" t="n">
        <f aca="false">(Юнит_экономика!E10+Юнит_экономика!E13-$A48*Допущения!$B$28)/Юнит_экономика!E10</f>
        <v>0.795396464646465</v>
      </c>
    </row>
    <row r="49" customFormat="false" ht="15" hidden="false" customHeight="false" outlineLevel="0" collapsed="false">
      <c r="A49" s="55" t="n">
        <v>2</v>
      </c>
      <c r="B49" s="42" t="n">
        <f aca="false">(Юнит_экономика!B10+Юнит_экономика!B13-$A49*Допущения!$B$28)/Юнит_экономика!B10</f>
        <v>0.79821608040201</v>
      </c>
      <c r="C49" s="42" t="n">
        <f aca="false">(Юнит_экономика!C10+Юнит_экономика!C13-$A49*Допущения!$B$28)/Юнит_экономика!C10</f>
        <v>0.796658291457286</v>
      </c>
      <c r="D49" s="42" t="n">
        <f aca="false">(Юнит_экономика!D10+Юнит_экономика!D13-$A49*Допущения!$B$28)/Юнит_экономика!D10</f>
        <v>0.593611111111111</v>
      </c>
      <c r="E49" s="42" t="n">
        <f aca="false">(Юнит_экономика!E10+Юнит_экономика!E13-$A49*Допущения!$B$28)/Юнит_экономика!E10</f>
        <v>0.593376262626263</v>
      </c>
      <c r="F49" s="2" t="s">
        <v>271</v>
      </c>
    </row>
    <row r="50" customFormat="false" ht="15" hidden="false" customHeight="false" outlineLevel="0" collapsed="false">
      <c r="A50" s="55" t="n">
        <v>3</v>
      </c>
      <c r="B50" s="42" t="n">
        <f aca="false">(Юнит_экономика!B10+Юнит_экономика!B13-$A50*Допущения!$B$28)/Юнит_экономика!B10</f>
        <v>0.697713567839196</v>
      </c>
      <c r="C50" s="42" t="n">
        <f aca="false">(Юнит_экономика!C10+Юнит_экономика!C13-$A50*Допущения!$B$28)/Юнит_экономика!C10</f>
        <v>0.696155778894472</v>
      </c>
      <c r="D50" s="42" t="n">
        <f aca="false">(Юнит_экономика!D10+Юнит_экономика!D13-$A50*Допущения!$B$28)/Юнит_экономика!D10</f>
        <v>0.391590909090909</v>
      </c>
      <c r="E50" s="42" t="n">
        <f aca="false">(Юнит_экономика!E10+Юнит_экономика!E13-$A50*Допущения!$B$28)/Юнит_экономика!E10</f>
        <v>0.391356060606061</v>
      </c>
    </row>
    <row r="51" customFormat="false" ht="15" hidden="false" customHeight="false" outlineLevel="0" collapsed="false">
      <c r="A51" s="55" t="n">
        <v>4</v>
      </c>
      <c r="B51" s="42" t="n">
        <f aca="false">(Юнит_экономика!B10+Юнит_экономика!B13-$A51*Допущения!$B$28)/Юнит_экономика!B10</f>
        <v>0.597211055276382</v>
      </c>
      <c r="C51" s="42" t="n">
        <f aca="false">(Юнит_экономика!C10+Юнит_экономика!C13-$A51*Допущения!$B$28)/Юнит_экономика!C10</f>
        <v>0.595653266331658</v>
      </c>
      <c r="D51" s="42" t="n">
        <f aca="false">(Юнит_экономика!D10+Юнит_экономика!D13-$A51*Допущения!$B$28)/Юнит_экономика!D10</f>
        <v>0.189570707070707</v>
      </c>
      <c r="E51" s="42" t="n">
        <f aca="false">(Юнит_экономика!E10+Юнит_экономика!E13-$A51*Допущения!$B$28)/Юнит_экономика!E10</f>
        <v>0.189335858585859</v>
      </c>
    </row>
    <row r="52" customFormat="false" ht="15" hidden="false" customHeight="false" outlineLevel="0" collapsed="false">
      <c r="A52" s="55" t="n">
        <v>6</v>
      </c>
      <c r="B52" s="42" t="n">
        <f aca="false">(Юнит_экономика!B10+Юнит_экономика!B13-$A52*Допущения!$B$28)/Юнит_экономика!B10</f>
        <v>0.396206030150754</v>
      </c>
      <c r="C52" s="42" t="n">
        <f aca="false">(Юнит_экономика!C10+Юнит_экономика!C13-$A52*Допущения!$B$28)/Юнит_экономика!C10</f>
        <v>0.39464824120603</v>
      </c>
      <c r="D52" s="42" t="n">
        <f aca="false">(Юнит_экономика!D10+Юнит_экономика!D13-$A52*Допущения!$B$28)/Юнит_экономика!D10</f>
        <v>-0.214469696969697</v>
      </c>
      <c r="E52" s="42" t="n">
        <f aca="false">(Юнит_экономика!E10+Юнит_экономика!E13-$A52*Допущения!$B$28)/Юнит_экономика!E10</f>
        <v>-0.214704545454546</v>
      </c>
    </row>
    <row r="53" customFormat="false" ht="15" hidden="false" customHeight="false" outlineLevel="0" collapsed="false">
      <c r="A53" s="55" t="n">
        <v>8</v>
      </c>
      <c r="B53" s="42" t="n">
        <f aca="false">(Юнит_экономика!B10+Юнит_экономика!B13-$A53*Допущения!$B$28)/Юнит_экономика!B10</f>
        <v>0.195201005025126</v>
      </c>
      <c r="C53" s="42" t="n">
        <f aca="false">(Юнит_экономика!C10+Юнит_экономика!C13-$A53*Допущения!$B$28)/Юнит_экономика!C10</f>
        <v>0.193643216080402</v>
      </c>
      <c r="D53" s="42" t="n">
        <f aca="false">(Юнит_экономика!D10+Юнит_экономика!D13-$A53*Допущения!$B$28)/Юнит_экономика!D10</f>
        <v>-0.618510101010101</v>
      </c>
      <c r="E53" s="42" t="n">
        <f aca="false">(Юнит_экономика!E10+Юнит_экономика!E13-$A53*Допущения!$B$28)/Юнит_экономика!E10</f>
        <v>-0.61874494949495</v>
      </c>
    </row>
    <row r="55" customFormat="false" ht="33.75" hidden="false" customHeight="true" outlineLevel="0" collapsed="false">
      <c r="A55" s="46" t="s">
        <v>272</v>
      </c>
      <c r="B55" s="46"/>
      <c r="C55" s="46"/>
      <c r="D55" s="46"/>
      <c r="E55" s="46"/>
      <c r="F55" s="46"/>
      <c r="G55" s="46"/>
      <c r="H55" s="46"/>
    </row>
  </sheetData>
  <mergeCells count="5">
    <mergeCell ref="A17:H17"/>
    <mergeCell ref="A27:H27"/>
    <mergeCell ref="A34:H34"/>
    <mergeCell ref="A44:H44"/>
    <mergeCell ref="A55:H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0"/>
  </cols>
  <sheetData>
    <row r="1" customFormat="false" ht="16.15" hidden="false" customHeight="false" outlineLevel="0" collapsed="false">
      <c r="B1" s="1" t="s">
        <v>273</v>
      </c>
    </row>
    <row r="3" customFormat="false" ht="19.5" hidden="false" customHeight="true" outlineLevel="0" collapsed="false">
      <c r="A3" s="56"/>
      <c r="B3" s="3" t="s">
        <v>274</v>
      </c>
    </row>
    <row r="4" customFormat="false" ht="36" hidden="false" customHeight="true" outlineLevel="0" collapsed="false">
      <c r="B4" s="57" t="s">
        <v>275</v>
      </c>
    </row>
    <row r="5" customFormat="false" ht="36" hidden="false" customHeight="true" outlineLevel="0" collapsed="false">
      <c r="B5" s="57" t="s">
        <v>276</v>
      </c>
    </row>
    <row r="6" customFormat="false" ht="19.5" hidden="false" customHeight="true" outlineLevel="0" collapsed="false">
      <c r="A6" s="56"/>
      <c r="B6" s="3" t="s">
        <v>277</v>
      </c>
    </row>
    <row r="7" customFormat="false" ht="51" hidden="false" customHeight="true" outlineLevel="0" collapsed="false">
      <c r="B7" s="57" t="s">
        <v>278</v>
      </c>
    </row>
    <row r="8" customFormat="false" ht="36" hidden="false" customHeight="true" outlineLevel="0" collapsed="false">
      <c r="B8" s="57" t="s">
        <v>279</v>
      </c>
    </row>
    <row r="9" customFormat="false" ht="19.5" hidden="false" customHeight="true" outlineLevel="0" collapsed="false">
      <c r="A9" s="56"/>
      <c r="B9" s="3" t="s">
        <v>280</v>
      </c>
    </row>
    <row r="10" customFormat="false" ht="36" hidden="false" customHeight="true" outlineLevel="0" collapsed="false">
      <c r="B10" s="57" t="s">
        <v>281</v>
      </c>
    </row>
    <row r="11" customFormat="false" ht="66" hidden="false" customHeight="true" outlineLevel="0" collapsed="false">
      <c r="B11" s="57" t="s">
        <v>282</v>
      </c>
    </row>
    <row r="12" customFormat="false" ht="51" hidden="false" customHeight="true" outlineLevel="0" collapsed="false">
      <c r="B12" s="57" t="s">
        <v>283</v>
      </c>
    </row>
    <row r="13" customFormat="false" ht="19.5" hidden="false" customHeight="true" outlineLevel="0" collapsed="false">
      <c r="A13" s="56"/>
      <c r="B13" s="3" t="s">
        <v>284</v>
      </c>
    </row>
    <row r="14" customFormat="false" ht="66" hidden="false" customHeight="true" outlineLevel="0" collapsed="false">
      <c r="B14" s="57" t="s">
        <v>285</v>
      </c>
    </row>
    <row r="15" customFormat="false" ht="66" hidden="false" customHeight="true" outlineLevel="0" collapsed="false">
      <c r="B15" s="57" t="s">
        <v>286</v>
      </c>
    </row>
    <row r="16" customFormat="false" ht="36" hidden="false" customHeight="true" outlineLevel="0" collapsed="false">
      <c r="B16" s="57" t="s">
        <v>287</v>
      </c>
    </row>
    <row r="17" customFormat="false" ht="19.5" hidden="false" customHeight="true" outlineLevel="0" collapsed="false">
      <c r="A17" s="56"/>
      <c r="B17" s="3" t="s">
        <v>288</v>
      </c>
    </row>
    <row r="18" customFormat="false" ht="66" hidden="false" customHeight="true" outlineLevel="0" collapsed="false">
      <c r="B18" s="57" t="s">
        <v>289</v>
      </c>
    </row>
    <row r="19" customFormat="false" ht="19.5" hidden="false" customHeight="true" outlineLevel="0" collapsed="false">
      <c r="A19" s="56"/>
      <c r="B19" s="3" t="s">
        <v>290</v>
      </c>
    </row>
    <row r="20" customFormat="false" ht="36" hidden="false" customHeight="true" outlineLevel="0" collapsed="false">
      <c r="B20" s="57" t="s">
        <v>291</v>
      </c>
    </row>
    <row r="21" customFormat="false" ht="36" hidden="false" customHeight="true" outlineLevel="0" collapsed="false">
      <c r="B21" s="57" t="s">
        <v>292</v>
      </c>
    </row>
    <row r="22" customFormat="false" ht="51" hidden="false" customHeight="true" outlineLevel="0" collapsed="false">
      <c r="B22" s="57" t="s">
        <v>293</v>
      </c>
    </row>
    <row r="23" customFormat="false" ht="36" hidden="false" customHeight="true" outlineLevel="0" collapsed="false">
      <c r="B23" s="57" t="s">
        <v>294</v>
      </c>
    </row>
    <row r="24" customFormat="false" ht="19.5" hidden="false" customHeight="true" outlineLevel="0" collapsed="false">
      <c r="A24" s="56"/>
      <c r="B24" s="3" t="s">
        <v>295</v>
      </c>
    </row>
    <row r="25" customFormat="false" ht="36" hidden="false" customHeight="true" outlineLevel="0" collapsed="false">
      <c r="B25" s="57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2026-08-12T14:46:19Z</dcterms:created>
  <dc:creator>openpyxl</dc:creator>
  <dc:description/>
  <dc:language>en-US</dc:language>
  <cp:lastModifiedBy/>
  <dcterms:modified xsi:type="dcterms:W3CDTF">2026-08-12T14:46:19Z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